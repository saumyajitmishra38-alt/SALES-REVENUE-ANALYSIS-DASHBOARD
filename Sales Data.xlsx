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58713978-AB9F-409B-A23B-8795F78D8BC5}" xr6:coauthVersionLast="47" xr6:coauthVersionMax="47" xr10:uidLastSave="{00000000-0000-0000-0000-000000000000}"/>
  <bookViews>
    <workbookView xWindow="-108" yWindow="-108" windowWidth="23256" windowHeight="12456" xr2:uid="{9EAB2F7E-1A5D-46E2-8FEA-353FD1BC27A2}"/>
  </bookViews>
  <sheets>
    <sheet name="Dashboard" sheetId="2" r:id="rId1"/>
    <sheet name="Analysis" sheetId="22" r:id="rId2"/>
    <sheet name="Sales Data" sheetId="17" r:id="rId3"/>
  </sheets>
  <definedNames>
    <definedName name="Slicer_Months__Date">#N/A</definedName>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0" i="2" l="1"/>
  <c r="P31" i="2"/>
  <c r="P32" i="2"/>
  <c r="P33" i="2"/>
  <c r="P34" i="2"/>
  <c r="P29" i="2"/>
  <c r="M30" i="2"/>
  <c r="M31" i="2"/>
  <c r="M32" i="2"/>
  <c r="M33" i="2"/>
  <c r="M34" i="2"/>
  <c r="M29" i="2"/>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2" i="17"/>
  <c r="R29" i="2" l="1"/>
  <c r="R31" i="2"/>
  <c r="R34" i="2"/>
  <c r="R32" i="2"/>
  <c r="R30" i="2"/>
  <c r="R33" i="2"/>
</calcChain>
</file>

<file path=xl/sharedStrings.xml><?xml version="1.0" encoding="utf-8"?>
<sst xmlns="http://schemas.openxmlformats.org/spreadsheetml/2006/main" count="187" uniqueCount="40">
  <si>
    <t>Date</t>
  </si>
  <si>
    <t>Product</t>
  </si>
  <si>
    <t>Region</t>
  </si>
  <si>
    <t>Units Sold</t>
  </si>
  <si>
    <t>Unit Price</t>
  </si>
  <si>
    <t>Discount</t>
  </si>
  <si>
    <t>Revenue</t>
  </si>
  <si>
    <t>Laptop</t>
  </si>
  <si>
    <t>North</t>
  </si>
  <si>
    <t>Smartphone</t>
  </si>
  <si>
    <t>South</t>
  </si>
  <si>
    <t>East</t>
  </si>
  <si>
    <t>Headphones</t>
  </si>
  <si>
    <t>West</t>
  </si>
  <si>
    <t>Data Check</t>
  </si>
  <si>
    <t>Monitor</t>
  </si>
  <si>
    <t>Keyboard</t>
  </si>
  <si>
    <t>Printer</t>
  </si>
  <si>
    <t>Sum of Revenue</t>
  </si>
  <si>
    <t>Total Revenue</t>
  </si>
  <si>
    <t>Grand Total</t>
  </si>
  <si>
    <t>Top Product</t>
  </si>
  <si>
    <t>Jan</t>
  </si>
  <si>
    <t>Feb</t>
  </si>
  <si>
    <t>Mar</t>
  </si>
  <si>
    <t>Apr</t>
  </si>
  <si>
    <t>May</t>
  </si>
  <si>
    <t>Jun</t>
  </si>
  <si>
    <t>Jul</t>
  </si>
  <si>
    <t>Aug</t>
  </si>
  <si>
    <t>Sep</t>
  </si>
  <si>
    <t>Oct</t>
  </si>
  <si>
    <t>Nov</t>
  </si>
  <si>
    <t>Dec</t>
  </si>
  <si>
    <t>2025</t>
  </si>
  <si>
    <t>Months</t>
  </si>
  <si>
    <t>Average Order Value</t>
  </si>
  <si>
    <t>Revenue by Region</t>
  </si>
  <si>
    <t xml:space="preserve">Total Units </t>
  </si>
  <si>
    <t xml:space="preserve">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</si>
</sst>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6" x14ac:knownFonts="1">
    <font>
      <sz val="11"/>
      <color theme="1"/>
      <name val="Calibri"/>
      <family val="2"/>
      <scheme val="minor"/>
    </font>
    <font>
      <sz val="11"/>
      <color rgb="FF002060"/>
      <name val="Calibri"/>
      <family val="2"/>
      <scheme val="minor"/>
    </font>
    <font>
      <b/>
      <sz val="11"/>
      <color rgb="FFFFFF00"/>
      <name val="Calibri"/>
      <family val="2"/>
    </font>
    <font>
      <sz val="11"/>
      <color theme="1"/>
      <name val="Calibri"/>
      <family val="2"/>
      <scheme val="minor"/>
    </font>
    <font>
      <b/>
      <sz val="11"/>
      <color theme="1"/>
      <name val="Calibri"/>
      <family val="2"/>
      <scheme val="minor"/>
    </font>
    <font>
      <sz val="14"/>
      <color theme="1"/>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4"/>
        <bgColor indexed="64"/>
      </patternFill>
    </fill>
    <fill>
      <patternFill patternType="solid">
        <fgColor theme="0"/>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8">
    <xf numFmtId="0" fontId="0" fillId="0" borderId="0" xfId="0"/>
    <xf numFmtId="0" fontId="2" fillId="2" borderId="0" xfId="0" applyFont="1" applyFill="1" applyAlignment="1">
      <alignment horizontal="center"/>
    </xf>
    <xf numFmtId="17" fontId="0" fillId="0" borderId="0" xfId="0" applyNumberFormat="1" applyAlignment="1">
      <alignment horizontal="center"/>
    </xf>
    <xf numFmtId="0" fontId="0" fillId="0" borderId="0" xfId="0"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3"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3" borderId="0" xfId="0" applyFont="1" applyFill="1"/>
    <xf numFmtId="0" fontId="5" fillId="0" borderId="0" xfId="0" applyFont="1" applyAlignment="1">
      <alignment horizontal="center"/>
    </xf>
    <xf numFmtId="3" fontId="5" fillId="0" borderId="0" xfId="0" applyNumberFormat="1" applyFont="1"/>
    <xf numFmtId="0" fontId="4" fillId="0" borderId="0" xfId="0" applyFont="1"/>
    <xf numFmtId="9" fontId="0" fillId="0" borderId="0" xfId="1" applyFont="1"/>
    <xf numFmtId="0" fontId="1" fillId="4" borderId="0" xfId="0" applyFont="1" applyFill="1"/>
    <xf numFmtId="0" fontId="0" fillId="4" borderId="0" xfId="0" applyFill="1"/>
  </cellXfs>
  <cellStyles count="2">
    <cellStyle name="Normal" xfId="0" builtinId="0"/>
    <cellStyle name="Percent" xfId="1" builtinId="5"/>
  </cellStyles>
  <dxfs count="10">
    <dxf>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165" formatCode="0.0%"/>
      <alignment horizontal="center" vertical="bottom" textRotation="0" wrapText="0" indent="0" justifyLastLine="0" shrinkToFit="0" readingOrder="0"/>
    </dxf>
    <dxf>
      <numFmt numFmtId="164"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2" formatCode="mmm/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rgb="FFFFFF00"/>
        <name val="Calibri"/>
        <family val="2"/>
        <scheme val="none"/>
      </font>
      <fill>
        <patternFill patternType="solid">
          <fgColor indexed="64"/>
          <bgColor rgb="FF002060"/>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Data.xlsx]Analysis!PivotTable14</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b="1"/>
              <a:t>Monthly Revenue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8.2513998250218726E-2"/>
              <c:y val="-0.270798702245552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5.307655293088364E-2"/>
              <c:y val="-0.187465368912219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8.2513998250218726E-2"/>
              <c:y val="-0.270798702245552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5.307655293088364E-2"/>
              <c:y val="-0.187465368912219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206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2060"/>
            </a:solidFill>
            <a:round/>
          </a:ln>
          <a:effectLst/>
        </c:spPr>
        <c:marker>
          <c:symbol val="none"/>
        </c:marker>
        <c:dLbl>
          <c:idx val="0"/>
          <c:layout>
            <c:manualLayout>
              <c:x val="-8.2513998250218726E-2"/>
              <c:y val="-0.27079870224555264"/>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02060"/>
            </a:solidFill>
            <a:round/>
          </a:ln>
          <a:effectLst/>
        </c:spPr>
        <c:marker>
          <c:symbol val="none"/>
        </c:marker>
        <c:dLbl>
          <c:idx val="0"/>
          <c:layout>
            <c:manualLayout>
              <c:x val="-5.307655293088364E-2"/>
              <c:y val="-0.1874653689122193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002060"/>
            </a:solidFill>
            <a:round/>
          </a:ln>
          <a:effectLst/>
        </c:spPr>
        <c:marker>
          <c:symbol val="none"/>
        </c:marker>
        <c:dLbl>
          <c:idx val="0"/>
          <c:layout>
            <c:manualLayout>
              <c:x val="-8.8847799831310248E-2"/>
              <c:y val="0.10988171737087715"/>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002060"/>
            </a:solidFill>
            <a:round/>
          </a:ln>
          <a:effectLst/>
        </c:spPr>
        <c:marker>
          <c:symbol val="none"/>
        </c:marker>
        <c:dLbl>
          <c:idx val="0"/>
          <c:layout>
            <c:manualLayout>
              <c:x val="-9.3268335538008701E-2"/>
              <c:y val="8.6510068028062173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002060"/>
            </a:solidFill>
            <a:round/>
          </a:ln>
          <a:effectLst/>
        </c:spPr>
        <c:marker>
          <c:symbol val="none"/>
        </c:marker>
        <c:dLbl>
          <c:idx val="0"/>
          <c:layout>
            <c:manualLayout>
              <c:x val="-4.069167613213584E-2"/>
              <c:y val="8.6510068028062173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002060"/>
            </a:solidFill>
            <a:round/>
          </a:ln>
          <a:effectLst/>
        </c:spPr>
        <c:marker>
          <c:symbol val="none"/>
        </c:marker>
        <c:dLbl>
          <c:idx val="0"/>
          <c:layout>
            <c:manualLayout>
              <c:x val="-4.7339910826673784E-2"/>
              <c:y val="-0.1004631267144577"/>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002060"/>
            </a:solidFill>
            <a:round/>
          </a:ln>
          <a:effectLst/>
        </c:spPr>
        <c:marker>
          <c:symbol val="none"/>
        </c:marker>
        <c:dLbl>
          <c:idx val="0"/>
          <c:layout>
            <c:manualLayout>
              <c:x val="-4.3458868732444943E-2"/>
              <c:y val="-0.15655508513721367"/>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002060"/>
            </a:solidFill>
            <a:round/>
          </a:ln>
          <a:effectLst/>
        </c:spPr>
        <c:marker>
          <c:symbol val="none"/>
        </c:marker>
        <c:dLbl>
          <c:idx val="0"/>
          <c:layout>
            <c:manualLayout>
              <c:x val="-1.6090244469482332E-2"/>
              <c:y val="6.3138418685247194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002060"/>
            </a:solidFill>
            <a:round/>
          </a:ln>
          <a:effectLst/>
        </c:spPr>
        <c:marker>
          <c:symbol val="none"/>
        </c:marker>
        <c:dLbl>
          <c:idx val="0"/>
          <c:layout>
            <c:manualLayout>
              <c:x val="-7.3897987335845017E-2"/>
              <c:y val="8.6510068028062173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Analysis!$K$3</c:f>
              <c:strCache>
                <c:ptCount val="1"/>
                <c:pt idx="0">
                  <c:v>Total</c:v>
                </c:pt>
              </c:strCache>
            </c:strRef>
          </c:tx>
          <c:spPr>
            <a:ln w="28575" cap="rnd">
              <a:solidFill>
                <a:srgbClr val="002060"/>
              </a:solidFill>
              <a:round/>
            </a:ln>
            <a:effectLst/>
          </c:spPr>
          <c:marker>
            <c:symbol val="none"/>
          </c:marker>
          <c:dPt>
            <c:idx val="0"/>
            <c:marker>
              <c:symbol val="none"/>
            </c:marker>
            <c:bubble3D val="0"/>
            <c:spPr>
              <a:ln w="28575" cap="rnd">
                <a:solidFill>
                  <a:srgbClr val="002060"/>
                </a:solidFill>
                <a:round/>
              </a:ln>
              <a:effectLst/>
            </c:spPr>
            <c:extLst>
              <c:ext xmlns:c16="http://schemas.microsoft.com/office/drawing/2014/chart" uri="{C3380CC4-5D6E-409C-BE32-E72D297353CC}">
                <c16:uniqueId val="{00000000-DF26-4015-B03D-1CB979F7E53B}"/>
              </c:ext>
            </c:extLst>
          </c:dPt>
          <c:dPt>
            <c:idx val="1"/>
            <c:marker>
              <c:symbol val="none"/>
            </c:marker>
            <c:bubble3D val="0"/>
            <c:spPr>
              <a:ln w="28575" cap="rnd">
                <a:solidFill>
                  <a:srgbClr val="002060"/>
                </a:solidFill>
                <a:round/>
              </a:ln>
              <a:effectLst/>
            </c:spPr>
            <c:extLst>
              <c:ext xmlns:c16="http://schemas.microsoft.com/office/drawing/2014/chart" uri="{C3380CC4-5D6E-409C-BE32-E72D297353CC}">
                <c16:uniqueId val="{00000005-EB7F-41F5-925F-5C97DD86D036}"/>
              </c:ext>
            </c:extLst>
          </c:dPt>
          <c:dPt>
            <c:idx val="3"/>
            <c:marker>
              <c:symbol val="none"/>
            </c:marker>
            <c:bubble3D val="0"/>
            <c:spPr>
              <a:ln w="28575" cap="rnd">
                <a:solidFill>
                  <a:srgbClr val="002060"/>
                </a:solidFill>
                <a:round/>
              </a:ln>
              <a:effectLst/>
            </c:spPr>
            <c:extLst>
              <c:ext xmlns:c16="http://schemas.microsoft.com/office/drawing/2014/chart" uri="{C3380CC4-5D6E-409C-BE32-E72D297353CC}">
                <c16:uniqueId val="{00000004-EB7F-41F5-925F-5C97DD86D036}"/>
              </c:ext>
            </c:extLst>
          </c:dPt>
          <c:dPt>
            <c:idx val="4"/>
            <c:marker>
              <c:symbol val="none"/>
            </c:marker>
            <c:bubble3D val="0"/>
            <c:spPr>
              <a:ln w="28575" cap="rnd">
                <a:solidFill>
                  <a:srgbClr val="002060"/>
                </a:solidFill>
                <a:round/>
              </a:ln>
              <a:effectLst/>
            </c:spPr>
            <c:extLst>
              <c:ext xmlns:c16="http://schemas.microsoft.com/office/drawing/2014/chart" uri="{C3380CC4-5D6E-409C-BE32-E72D297353CC}">
                <c16:uniqueId val="{00000001-DF26-4015-B03D-1CB979F7E53B}"/>
              </c:ext>
            </c:extLst>
          </c:dPt>
          <c:dPt>
            <c:idx val="5"/>
            <c:marker>
              <c:symbol val="none"/>
            </c:marker>
            <c:bubble3D val="0"/>
            <c:spPr>
              <a:ln w="28575" cap="rnd">
                <a:solidFill>
                  <a:srgbClr val="002060"/>
                </a:solidFill>
                <a:round/>
              </a:ln>
              <a:effectLst/>
            </c:spPr>
            <c:extLst>
              <c:ext xmlns:c16="http://schemas.microsoft.com/office/drawing/2014/chart" uri="{C3380CC4-5D6E-409C-BE32-E72D297353CC}">
                <c16:uniqueId val="{00000007-EB7F-41F5-925F-5C97DD86D036}"/>
              </c:ext>
            </c:extLst>
          </c:dPt>
          <c:dPt>
            <c:idx val="6"/>
            <c:marker>
              <c:symbol val="none"/>
            </c:marker>
            <c:bubble3D val="0"/>
            <c:spPr>
              <a:ln w="28575" cap="rnd">
                <a:solidFill>
                  <a:srgbClr val="002060"/>
                </a:solidFill>
                <a:round/>
              </a:ln>
              <a:effectLst/>
            </c:spPr>
            <c:extLst>
              <c:ext xmlns:c16="http://schemas.microsoft.com/office/drawing/2014/chart" uri="{C3380CC4-5D6E-409C-BE32-E72D297353CC}">
                <c16:uniqueId val="{00000006-EB7F-41F5-925F-5C97DD86D036}"/>
              </c:ext>
            </c:extLst>
          </c:dPt>
          <c:dPt>
            <c:idx val="8"/>
            <c:marker>
              <c:symbol val="none"/>
            </c:marker>
            <c:bubble3D val="0"/>
            <c:spPr>
              <a:ln w="28575" cap="rnd">
                <a:solidFill>
                  <a:srgbClr val="002060"/>
                </a:solidFill>
                <a:round/>
              </a:ln>
              <a:effectLst/>
            </c:spPr>
            <c:extLst>
              <c:ext xmlns:c16="http://schemas.microsoft.com/office/drawing/2014/chart" uri="{C3380CC4-5D6E-409C-BE32-E72D297353CC}">
                <c16:uniqueId val="{00000008-EB7F-41F5-925F-5C97DD86D036}"/>
              </c:ext>
            </c:extLst>
          </c:dPt>
          <c:dPt>
            <c:idx val="9"/>
            <c:marker>
              <c:symbol val="none"/>
            </c:marker>
            <c:bubble3D val="0"/>
            <c:spPr>
              <a:ln w="28575" cap="rnd">
                <a:solidFill>
                  <a:srgbClr val="002060"/>
                </a:solidFill>
                <a:round/>
              </a:ln>
              <a:effectLst/>
            </c:spPr>
            <c:extLst>
              <c:ext xmlns:c16="http://schemas.microsoft.com/office/drawing/2014/chart" uri="{C3380CC4-5D6E-409C-BE32-E72D297353CC}">
                <c16:uniqueId val="{0000000A-EB7F-41F5-925F-5C97DD86D036}"/>
              </c:ext>
            </c:extLst>
          </c:dPt>
          <c:dPt>
            <c:idx val="10"/>
            <c:marker>
              <c:symbol val="none"/>
            </c:marker>
            <c:bubble3D val="0"/>
            <c:spPr>
              <a:ln w="28575" cap="rnd">
                <a:solidFill>
                  <a:srgbClr val="002060"/>
                </a:solidFill>
                <a:round/>
              </a:ln>
              <a:effectLst/>
            </c:spPr>
            <c:extLst>
              <c:ext xmlns:c16="http://schemas.microsoft.com/office/drawing/2014/chart" uri="{C3380CC4-5D6E-409C-BE32-E72D297353CC}">
                <c16:uniqueId val="{00000009-EB7F-41F5-925F-5C97DD86D036}"/>
              </c:ext>
            </c:extLst>
          </c:dPt>
          <c:dLbls>
            <c:dLbl>
              <c:idx val="0"/>
              <c:layout>
                <c:manualLayout>
                  <c:x val="-8.2513998250218726E-2"/>
                  <c:y val="-0.270798702245552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F26-4015-B03D-1CB979F7E53B}"/>
                </c:ext>
              </c:extLst>
            </c:dLbl>
            <c:dLbl>
              <c:idx val="1"/>
              <c:layout>
                <c:manualLayout>
                  <c:x val="-9.3268335538008701E-2"/>
                  <c:y val="8.65100680280621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7F-41F5-925F-5C97DD86D036}"/>
                </c:ext>
              </c:extLst>
            </c:dLbl>
            <c:dLbl>
              <c:idx val="3"/>
              <c:layout>
                <c:manualLayout>
                  <c:x val="-8.8847799831310248E-2"/>
                  <c:y val="0.109881717370877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B7F-41F5-925F-5C97DD86D036}"/>
                </c:ext>
              </c:extLst>
            </c:dLbl>
            <c:dLbl>
              <c:idx val="4"/>
              <c:layout>
                <c:manualLayout>
                  <c:x val="-5.307655293088364E-2"/>
                  <c:y val="-0.1874653689122193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26-4015-B03D-1CB979F7E53B}"/>
                </c:ext>
              </c:extLst>
            </c:dLbl>
            <c:dLbl>
              <c:idx val="5"/>
              <c:layout>
                <c:manualLayout>
                  <c:x val="-4.7339910826673784E-2"/>
                  <c:y val="-0.100463126714457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B7F-41F5-925F-5C97DD86D036}"/>
                </c:ext>
              </c:extLst>
            </c:dLbl>
            <c:dLbl>
              <c:idx val="6"/>
              <c:layout>
                <c:manualLayout>
                  <c:x val="-4.069167613213584E-2"/>
                  <c:y val="8.65100680280621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B7F-41F5-925F-5C97DD86D036}"/>
                </c:ext>
              </c:extLst>
            </c:dLbl>
            <c:dLbl>
              <c:idx val="8"/>
              <c:layout>
                <c:manualLayout>
                  <c:x val="-4.3458868732444943E-2"/>
                  <c:y val="-0.1565550851372136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B7F-41F5-925F-5C97DD86D036}"/>
                </c:ext>
              </c:extLst>
            </c:dLbl>
            <c:dLbl>
              <c:idx val="9"/>
              <c:layout>
                <c:manualLayout>
                  <c:x val="-7.3897987335845017E-2"/>
                  <c:y val="8.65100680280621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B7F-41F5-925F-5C97DD86D036}"/>
                </c:ext>
              </c:extLst>
            </c:dLbl>
            <c:dLbl>
              <c:idx val="10"/>
              <c:layout>
                <c:manualLayout>
                  <c:x val="-1.6090244469482332E-2"/>
                  <c:y val="6.31384186852471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B7F-41F5-925F-5C97DD86D036}"/>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olidFill>
                      <a:round/>
                    </a:ln>
                    <a:effectLst/>
                  </c:spPr>
                </c15:leaderLines>
              </c:ext>
            </c:extLst>
          </c:dLbls>
          <c:cat>
            <c:multiLvlStrRef>
              <c:f>Analysis!$J$4:$J$17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Analysis!$K$4:$K$17</c:f>
              <c:numCache>
                <c:formatCode>#,##0</c:formatCode>
                <c:ptCount val="12"/>
                <c:pt idx="0">
                  <c:v>8669383.5631758124</c:v>
                </c:pt>
                <c:pt idx="1">
                  <c:v>8616574.4645041302</c:v>
                </c:pt>
                <c:pt idx="2">
                  <c:v>15177719.683861839</c:v>
                </c:pt>
                <c:pt idx="3">
                  <c:v>12547128.142294422</c:v>
                </c:pt>
                <c:pt idx="4">
                  <c:v>12871781.381815176</c:v>
                </c:pt>
                <c:pt idx="5">
                  <c:v>11017564.538991611</c:v>
                </c:pt>
                <c:pt idx="6">
                  <c:v>9976747.1017730385</c:v>
                </c:pt>
                <c:pt idx="7">
                  <c:v>15305529.591221256</c:v>
                </c:pt>
                <c:pt idx="8">
                  <c:v>9944599.9131466914</c:v>
                </c:pt>
                <c:pt idx="9">
                  <c:v>7626723.4493099339</c:v>
                </c:pt>
                <c:pt idx="10">
                  <c:v>12762468.850377589</c:v>
                </c:pt>
                <c:pt idx="11">
                  <c:v>17761967.682309378</c:v>
                </c:pt>
              </c:numCache>
            </c:numRef>
          </c:val>
          <c:smooth val="1"/>
          <c:extLst>
            <c:ext xmlns:c16="http://schemas.microsoft.com/office/drawing/2014/chart" uri="{C3380CC4-5D6E-409C-BE32-E72D297353CC}">
              <c16:uniqueId val="{00000002-DF26-4015-B03D-1CB979F7E53B}"/>
            </c:ext>
          </c:extLst>
        </c:ser>
        <c:dLbls>
          <c:showLegendKey val="0"/>
          <c:showVal val="0"/>
          <c:showCatName val="0"/>
          <c:showSerName val="0"/>
          <c:showPercent val="0"/>
          <c:showBubbleSize val="0"/>
        </c:dLbls>
        <c:smooth val="0"/>
        <c:axId val="795861071"/>
        <c:axId val="797197871"/>
      </c:lineChart>
      <c:catAx>
        <c:axId val="79586107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7197871"/>
        <c:crosses val="autoZero"/>
        <c:auto val="1"/>
        <c:lblAlgn val="ctr"/>
        <c:lblOffset val="100"/>
        <c:noMultiLvlLbl val="0"/>
      </c:catAx>
      <c:valAx>
        <c:axId val="797197871"/>
        <c:scaling>
          <c:orientation val="minMax"/>
        </c:scaling>
        <c:delete val="1"/>
        <c:axPos val="l"/>
        <c:numFmt formatCode="#,##0" sourceLinked="1"/>
        <c:majorTickMark val="none"/>
        <c:minorTickMark val="none"/>
        <c:tickLblPos val="nextTo"/>
        <c:crossAx val="79586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Data.xlsx]Analysis!PivotTable13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Top-Performing</a:t>
            </a:r>
            <a:r>
              <a:rPr lang="en-IN" sz="1400" b="1" i="0" u="none" strike="noStrike" baseline="0"/>
              <a:t> </a:t>
            </a:r>
            <a:r>
              <a:rPr lang="en-IN" sz="1400" b="1" i="0" u="none" strike="noStrike" baseline="0">
                <a:solidFill>
                  <a:sysClr val="windowText" lastClr="000000"/>
                </a:solidFill>
              </a:rPr>
              <a:t>Products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Analysis!$G$4:$G$10</c:f>
              <c:strCache>
                <c:ptCount val="6"/>
                <c:pt idx="0">
                  <c:v>Laptop</c:v>
                </c:pt>
                <c:pt idx="1">
                  <c:v>Smartphone</c:v>
                </c:pt>
                <c:pt idx="2">
                  <c:v>Monitor</c:v>
                </c:pt>
                <c:pt idx="3">
                  <c:v>Printer</c:v>
                </c:pt>
                <c:pt idx="4">
                  <c:v>Headphones</c:v>
                </c:pt>
                <c:pt idx="5">
                  <c:v>Keyboard</c:v>
                </c:pt>
              </c:strCache>
            </c:strRef>
          </c:cat>
          <c:val>
            <c:numRef>
              <c:f>Analysis!$H$4:$H$10</c:f>
              <c:numCache>
                <c:formatCode>#,##0</c:formatCode>
                <c:ptCount val="6"/>
                <c:pt idx="0">
                  <c:v>66519499.379714437</c:v>
                </c:pt>
                <c:pt idx="1">
                  <c:v>36192914.505723469</c:v>
                </c:pt>
                <c:pt idx="2">
                  <c:v>18707651.305462528</c:v>
                </c:pt>
                <c:pt idx="3">
                  <c:v>13745452.176967533</c:v>
                </c:pt>
                <c:pt idx="4">
                  <c:v>4049370.6404464818</c:v>
                </c:pt>
                <c:pt idx="5">
                  <c:v>3063300.3544664248</c:v>
                </c:pt>
              </c:numCache>
            </c:numRef>
          </c:val>
          <c:extLst>
            <c:ext xmlns:c16="http://schemas.microsoft.com/office/drawing/2014/chart" uri="{C3380CC4-5D6E-409C-BE32-E72D297353CC}">
              <c16:uniqueId val="{00000000-72B5-4C71-BEF0-7B6667422B49}"/>
            </c:ext>
          </c:extLst>
        </c:ser>
        <c:dLbls>
          <c:dLblPos val="outEnd"/>
          <c:showLegendKey val="0"/>
          <c:showVal val="1"/>
          <c:showCatName val="0"/>
          <c:showSerName val="0"/>
          <c:showPercent val="0"/>
          <c:showBubbleSize val="0"/>
        </c:dLbls>
        <c:gapWidth val="219"/>
        <c:overlap val="-27"/>
        <c:axId val="872653519"/>
        <c:axId val="797239631"/>
      </c:barChart>
      <c:catAx>
        <c:axId val="87265351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39631"/>
        <c:crosses val="autoZero"/>
        <c:auto val="1"/>
        <c:lblAlgn val="ctr"/>
        <c:lblOffset val="100"/>
        <c:noMultiLvlLbl val="0"/>
      </c:catAx>
      <c:valAx>
        <c:axId val="797239631"/>
        <c:scaling>
          <c:orientation val="minMax"/>
        </c:scaling>
        <c:delete val="1"/>
        <c:axPos val="l"/>
        <c:numFmt formatCode="#,##0" sourceLinked="1"/>
        <c:majorTickMark val="none"/>
        <c:minorTickMark val="none"/>
        <c:tickLblPos val="nextTo"/>
        <c:crossAx val="872653519"/>
        <c:crosses val="autoZero"/>
        <c:crossBetween val="between"/>
      </c:valAx>
      <c:spPr>
        <a:solidFill>
          <a:schemeClr val="tx2">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Data.xlsx]Analysis!PivotTable2</c:name>
    <c:fmtId val="3"/>
  </c:pivotSource>
  <c:chart>
    <c:title>
      <c:tx>
        <c:rich>
          <a:bodyPr rot="0" spcFirstLastPara="1" vertOverflow="ellipsis" vert="horz" wrap="square" anchor="ctr" anchorCtr="0"/>
          <a:lstStyle/>
          <a:p>
            <a:pPr>
              <a:defRPr sz="1400" b="0" i="0" u="none" strike="noStrike" kern="1200" spc="0" baseline="0">
                <a:solidFill>
                  <a:sysClr val="windowText" lastClr="000000"/>
                </a:solidFill>
                <a:latin typeface="+mn-lt"/>
                <a:ea typeface="+mn-ea"/>
                <a:cs typeface="+mn-cs"/>
              </a:defRPr>
            </a:pPr>
            <a:r>
              <a:rPr lang="en-IN" sz="1400" b="1" i="0" u="none" strike="noStrike" baseline="0">
                <a:solidFill>
                  <a:sysClr val="windowText" lastClr="000000"/>
                </a:solidFill>
              </a:rPr>
              <a:t>Revenue by Region</a:t>
            </a:r>
            <a:endParaRPr lang="en-US" b="1">
              <a:solidFill>
                <a:sysClr val="windowText" lastClr="000000"/>
              </a:solidFill>
            </a:endParaRPr>
          </a:p>
        </c:rich>
      </c:tx>
      <c:overlay val="0"/>
      <c:spPr>
        <a:noFill/>
        <a:ln>
          <a:noFill/>
        </a:ln>
        <a:effectLst/>
      </c:spPr>
      <c:txPr>
        <a:bodyPr rot="0" spcFirstLastPara="1" vertOverflow="ellipsis" vert="horz" wrap="square" anchor="ctr" anchorCtr="0"/>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layout>
            <c:manualLayout>
              <c:x val="0.12489887218380952"/>
              <c:y val="0.179871525859533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37-441B-92C7-F19920F8F9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37-441B-92C7-F19920F8F9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37-441B-92C7-F19920F8F9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37-441B-92C7-F19920F8F920}"/>
              </c:ext>
            </c:extLst>
          </c:dPt>
          <c:dLbls>
            <c:dLbl>
              <c:idx val="3"/>
              <c:layout>
                <c:manualLayout>
                  <c:x val="0.12489887218380952"/>
                  <c:y val="0.17987152585953381"/>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337-441B-92C7-F19920F8F9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Analysis!$M$4:$M$8</c:f>
              <c:strCache>
                <c:ptCount val="4"/>
                <c:pt idx="0">
                  <c:v>East</c:v>
                </c:pt>
                <c:pt idx="1">
                  <c:v>North</c:v>
                </c:pt>
                <c:pt idx="2">
                  <c:v>South</c:v>
                </c:pt>
                <c:pt idx="3">
                  <c:v>West</c:v>
                </c:pt>
              </c:strCache>
            </c:strRef>
          </c:cat>
          <c:val>
            <c:numRef>
              <c:f>Analysis!$N$4:$N$8</c:f>
              <c:numCache>
                <c:formatCode>#,##0</c:formatCode>
                <c:ptCount val="4"/>
                <c:pt idx="0">
                  <c:v>29046048.083560813</c:v>
                </c:pt>
                <c:pt idx="1">
                  <c:v>41659451.815063879</c:v>
                </c:pt>
                <c:pt idx="2">
                  <c:v>33766729.98304195</c:v>
                </c:pt>
                <c:pt idx="3">
                  <c:v>37805958.481114231</c:v>
                </c:pt>
              </c:numCache>
            </c:numRef>
          </c:val>
          <c:extLst>
            <c:ext xmlns:c16="http://schemas.microsoft.com/office/drawing/2014/chart" uri="{C3380CC4-5D6E-409C-BE32-E72D297353CC}">
              <c16:uniqueId val="{00000008-0337-441B-92C7-F19920F8F920}"/>
            </c:ext>
          </c:extLst>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213127</xdr:colOff>
      <xdr:row>8</xdr:row>
      <xdr:rowOff>12588</xdr:rowOff>
    </xdr:from>
    <xdr:to>
      <xdr:col>10</xdr:col>
      <xdr:colOff>514334</xdr:colOff>
      <xdr:row>23</xdr:row>
      <xdr:rowOff>12589</xdr:rowOff>
    </xdr:to>
    <xdr:graphicFrame macro="">
      <xdr:nvGraphicFramePr>
        <xdr:cNvPr id="2" name="Chart 1">
          <a:extLst>
            <a:ext uri="{FF2B5EF4-FFF2-40B4-BE49-F238E27FC236}">
              <a16:creationId xmlns:a16="http://schemas.microsoft.com/office/drawing/2014/main" id="{3E916385-67FB-4562-A214-146E29617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125578</xdr:colOff>
      <xdr:row>8</xdr:row>
      <xdr:rowOff>6571</xdr:rowOff>
    </xdr:from>
    <xdr:to>
      <xdr:col>18</xdr:col>
      <xdr:colOff>316786</xdr:colOff>
      <xdr:row>23</xdr:row>
      <xdr:rowOff>6572</xdr:rowOff>
    </xdr:to>
    <xdr:graphicFrame macro="">
      <xdr:nvGraphicFramePr>
        <xdr:cNvPr id="3" name="Chart 2">
          <a:extLst>
            <a:ext uri="{FF2B5EF4-FFF2-40B4-BE49-F238E27FC236}">
              <a16:creationId xmlns:a16="http://schemas.microsoft.com/office/drawing/2014/main" id="{D72C5BA6-6034-466B-B909-66EFD486D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218982</xdr:colOff>
      <xdr:row>0</xdr:row>
      <xdr:rowOff>4460</xdr:rowOff>
    </xdr:from>
    <xdr:to>
      <xdr:col>18</xdr:col>
      <xdr:colOff>445214</xdr:colOff>
      <xdr:row>2</xdr:row>
      <xdr:rowOff>31017</xdr:rowOff>
    </xdr:to>
    <xdr:sp macro="" textlink="">
      <xdr:nvSpPr>
        <xdr:cNvPr id="4" name="Rectangle 3">
          <a:extLst>
            <a:ext uri="{FF2B5EF4-FFF2-40B4-BE49-F238E27FC236}">
              <a16:creationId xmlns:a16="http://schemas.microsoft.com/office/drawing/2014/main" id="{8DF3B986-C081-F7C5-8DDB-E8974B19CDA3}"/>
            </a:ext>
          </a:extLst>
        </xdr:cNvPr>
        <xdr:cNvSpPr/>
      </xdr:nvSpPr>
      <xdr:spPr>
        <a:xfrm>
          <a:off x="2042645" y="4460"/>
          <a:ext cx="9704142" cy="386153"/>
        </a:xfrm>
        <a:prstGeom prst="rect">
          <a:avLst/>
        </a:prstGeom>
        <a:solidFill>
          <a:schemeClr val="accent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SALES &amp; REVENUE ANALYSIS DASHBOARD</a:t>
          </a:r>
        </a:p>
      </xdr:txBody>
    </xdr:sp>
    <xdr:clientData/>
  </xdr:twoCellAnchor>
  <xdr:twoCellAnchor>
    <xdr:from>
      <xdr:col>5</xdr:col>
      <xdr:colOff>24984</xdr:colOff>
      <xdr:row>3</xdr:row>
      <xdr:rowOff>149903</xdr:rowOff>
    </xdr:from>
    <xdr:to>
      <xdr:col>7</xdr:col>
      <xdr:colOff>356017</xdr:colOff>
      <xdr:row>6</xdr:row>
      <xdr:rowOff>156147</xdr:rowOff>
    </xdr:to>
    <xdr:sp macro="" textlink="Analysis!A4">
      <xdr:nvSpPr>
        <xdr:cNvPr id="6" name="Rectangle 5">
          <a:extLst>
            <a:ext uri="{FF2B5EF4-FFF2-40B4-BE49-F238E27FC236}">
              <a16:creationId xmlns:a16="http://schemas.microsoft.com/office/drawing/2014/main" id="{49C28426-997C-8C76-0846-94B4B273BF8C}"/>
            </a:ext>
          </a:extLst>
        </xdr:cNvPr>
        <xdr:cNvSpPr/>
      </xdr:nvSpPr>
      <xdr:spPr>
        <a:xfrm>
          <a:off x="3085476" y="693296"/>
          <a:ext cx="1555230" cy="549638"/>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0" i="0" u="none" strike="noStrike">
              <a:solidFill>
                <a:srgbClr val="002060"/>
              </a:solidFill>
              <a:effectLst/>
              <a:latin typeface="+mn-lt"/>
              <a:ea typeface="Calibri"/>
              <a:cs typeface="Calibri"/>
            </a:rPr>
            <a:t>Total Revenue</a:t>
          </a:r>
        </a:p>
        <a:p>
          <a:pPr marL="0" marR="0" lvl="0" indent="0" algn="ctr" defTabSz="914400" eaLnBrk="1" fontAlgn="auto" latinLnBrk="0" hangingPunct="1">
            <a:lnSpc>
              <a:spcPct val="100000"/>
            </a:lnSpc>
            <a:spcBef>
              <a:spcPts val="0"/>
            </a:spcBef>
            <a:spcAft>
              <a:spcPts val="0"/>
            </a:spcAft>
            <a:buClrTx/>
            <a:buSzTx/>
            <a:buFontTx/>
            <a:buNone/>
            <a:tabLst/>
            <a:defRPr/>
          </a:pPr>
          <a:fld id="{1F5E1164-8CA5-4ACA-B285-9D091CDF9809}" type="TxLink">
            <a:rPr lang="en-US" sz="1100" b="0" i="0" u="none" strike="noStrike">
              <a:solidFill>
                <a:srgbClr val="002060"/>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14,22,78,188</a:t>
          </a:fld>
          <a:endParaRPr lang="en-IN" sz="1100">
            <a:solidFill>
              <a:srgbClr val="002060"/>
            </a:solidFill>
          </a:endParaRPr>
        </a:p>
      </xdr:txBody>
    </xdr:sp>
    <xdr:clientData/>
  </xdr:twoCellAnchor>
  <xdr:twoCellAnchor>
    <xdr:from>
      <xdr:col>3</xdr:col>
      <xdr:colOff>203577</xdr:colOff>
      <xdr:row>23</xdr:row>
      <xdr:rowOff>179595</xdr:rowOff>
    </xdr:from>
    <xdr:to>
      <xdr:col>10</xdr:col>
      <xdr:colOff>513707</xdr:colOff>
      <xdr:row>37</xdr:row>
      <xdr:rowOff>59933</xdr:rowOff>
    </xdr:to>
    <xdr:graphicFrame macro="">
      <xdr:nvGraphicFramePr>
        <xdr:cNvPr id="5" name="Chart 4">
          <a:extLst>
            <a:ext uri="{FF2B5EF4-FFF2-40B4-BE49-F238E27FC236}">
              <a16:creationId xmlns:a16="http://schemas.microsoft.com/office/drawing/2014/main" id="{6DED96A8-92AB-4A16-A159-085F76F4A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455951</xdr:colOff>
      <xdr:row>4</xdr:row>
      <xdr:rowOff>106180</xdr:rowOff>
    </xdr:from>
    <xdr:to>
      <xdr:col>6</xdr:col>
      <xdr:colOff>555885</xdr:colOff>
      <xdr:row>5</xdr:row>
      <xdr:rowOff>93688</xdr:rowOff>
    </xdr:to>
    <xdr:sp macro="" textlink="">
      <xdr:nvSpPr>
        <xdr:cNvPr id="10" name="Rectangle 9">
          <a:extLst>
            <a:ext uri="{FF2B5EF4-FFF2-40B4-BE49-F238E27FC236}">
              <a16:creationId xmlns:a16="http://schemas.microsoft.com/office/drawing/2014/main" id="{5A1EB448-1D61-BF33-EC89-6E0723D44039}"/>
            </a:ext>
          </a:extLst>
        </xdr:cNvPr>
        <xdr:cNvSpPr/>
      </xdr:nvSpPr>
      <xdr:spPr>
        <a:xfrm>
          <a:off x="3516443" y="830705"/>
          <a:ext cx="712032" cy="16863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4</xdr:row>
      <xdr:rowOff>0</xdr:rowOff>
    </xdr:from>
    <xdr:to>
      <xdr:col>10</xdr:col>
      <xdr:colOff>331033</xdr:colOff>
      <xdr:row>7</xdr:row>
      <xdr:rowOff>6245</xdr:rowOff>
    </xdr:to>
    <xdr:sp macro="" textlink="Analysis!C4">
      <xdr:nvSpPr>
        <xdr:cNvPr id="15" name="Rectangle 14">
          <a:extLst>
            <a:ext uri="{FF2B5EF4-FFF2-40B4-BE49-F238E27FC236}">
              <a16:creationId xmlns:a16="http://schemas.microsoft.com/office/drawing/2014/main" id="{4B65E9E9-A6D7-4537-AF09-FA472FB0BC8A}"/>
            </a:ext>
          </a:extLst>
        </xdr:cNvPr>
        <xdr:cNvSpPr/>
      </xdr:nvSpPr>
      <xdr:spPr>
        <a:xfrm>
          <a:off x="4896787" y="724525"/>
          <a:ext cx="1555230" cy="549638"/>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0" i="0" u="none" strike="noStrike">
              <a:solidFill>
                <a:srgbClr val="002060"/>
              </a:solidFill>
              <a:effectLst/>
              <a:latin typeface="+mn-lt"/>
              <a:ea typeface="Calibri"/>
              <a:cs typeface="Calibri"/>
            </a:rPr>
            <a:t>Total Units </a:t>
          </a:r>
        </a:p>
        <a:p>
          <a:pPr marL="0" marR="0" lvl="0" indent="0" algn="ctr" defTabSz="914400" eaLnBrk="1" fontAlgn="auto" latinLnBrk="0" hangingPunct="1">
            <a:lnSpc>
              <a:spcPct val="100000"/>
            </a:lnSpc>
            <a:spcBef>
              <a:spcPts val="0"/>
            </a:spcBef>
            <a:spcAft>
              <a:spcPts val="0"/>
            </a:spcAft>
            <a:buClrTx/>
            <a:buSzTx/>
            <a:buFontTx/>
            <a:buNone/>
            <a:tabLst/>
            <a:defRPr/>
          </a:pPr>
          <a:fld id="{216D9D4B-F5C2-44B4-9CC4-3F9472619A91}" type="TxLink">
            <a:rPr lang="en-US" sz="1100" b="0" i="0" u="none" strike="noStrike">
              <a:solidFill>
                <a:srgbClr val="002060"/>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7729</a:t>
          </a:fld>
          <a:endParaRPr lang="en-IN" sz="1100">
            <a:solidFill>
              <a:srgbClr val="002060"/>
            </a:solidFill>
          </a:endParaRPr>
        </a:p>
      </xdr:txBody>
    </xdr:sp>
    <xdr:clientData/>
  </xdr:twoCellAnchor>
  <xdr:twoCellAnchor>
    <xdr:from>
      <xdr:col>11</xdr:col>
      <xdr:colOff>0</xdr:colOff>
      <xdr:row>4</xdr:row>
      <xdr:rowOff>0</xdr:rowOff>
    </xdr:from>
    <xdr:to>
      <xdr:col>13</xdr:col>
      <xdr:colOff>331033</xdr:colOff>
      <xdr:row>7</xdr:row>
      <xdr:rowOff>6245</xdr:rowOff>
    </xdr:to>
    <xdr:sp macro="" textlink="Analysis!E4">
      <xdr:nvSpPr>
        <xdr:cNvPr id="16" name="Rectangle 15">
          <a:extLst>
            <a:ext uri="{FF2B5EF4-FFF2-40B4-BE49-F238E27FC236}">
              <a16:creationId xmlns:a16="http://schemas.microsoft.com/office/drawing/2014/main" id="{2C4EEEC5-D220-4D74-ADFD-29D9283595E7}"/>
            </a:ext>
          </a:extLst>
        </xdr:cNvPr>
        <xdr:cNvSpPr/>
      </xdr:nvSpPr>
      <xdr:spPr>
        <a:xfrm>
          <a:off x="6733082" y="724525"/>
          <a:ext cx="1555230" cy="549638"/>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0" i="0" u="none" strike="noStrike">
              <a:solidFill>
                <a:srgbClr val="002060"/>
              </a:solidFill>
              <a:effectLst/>
              <a:latin typeface="+mn-lt"/>
              <a:ea typeface="Calibri"/>
              <a:cs typeface="Calibri"/>
            </a:rPr>
            <a:t>Average Order Value</a:t>
          </a:r>
        </a:p>
        <a:p>
          <a:pPr marL="0" marR="0" lvl="0" indent="0" algn="ctr" defTabSz="914400" eaLnBrk="1" fontAlgn="auto" latinLnBrk="0" hangingPunct="1">
            <a:lnSpc>
              <a:spcPct val="100000"/>
            </a:lnSpc>
            <a:spcBef>
              <a:spcPts val="0"/>
            </a:spcBef>
            <a:spcAft>
              <a:spcPts val="0"/>
            </a:spcAft>
            <a:buClrTx/>
            <a:buSzTx/>
            <a:buFontTx/>
            <a:buNone/>
            <a:tabLst/>
            <a:defRPr/>
          </a:pPr>
          <a:fld id="{142756D8-22E3-4CC2-9F9B-F800B5E1850C}" type="TxLink">
            <a:rPr lang="en-US" sz="1100" b="0" i="0" u="none" strike="noStrike">
              <a:solidFill>
                <a:srgbClr val="002060"/>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19,76,086</a:t>
          </a:fld>
          <a:endParaRPr lang="en-IN" sz="1100">
            <a:solidFill>
              <a:srgbClr val="002060"/>
            </a:solidFill>
          </a:endParaRPr>
        </a:p>
      </xdr:txBody>
    </xdr:sp>
    <xdr:clientData/>
  </xdr:twoCellAnchor>
  <xdr:twoCellAnchor>
    <xdr:from>
      <xdr:col>14</xdr:col>
      <xdr:colOff>0</xdr:colOff>
      <xdr:row>4</xdr:row>
      <xdr:rowOff>0</xdr:rowOff>
    </xdr:from>
    <xdr:to>
      <xdr:col>16</xdr:col>
      <xdr:colOff>331033</xdr:colOff>
      <xdr:row>7</xdr:row>
      <xdr:rowOff>6245</xdr:rowOff>
    </xdr:to>
    <xdr:sp macro="" textlink="Analysis!G4">
      <xdr:nvSpPr>
        <xdr:cNvPr id="17" name="Rectangle 16">
          <a:extLst>
            <a:ext uri="{FF2B5EF4-FFF2-40B4-BE49-F238E27FC236}">
              <a16:creationId xmlns:a16="http://schemas.microsoft.com/office/drawing/2014/main" id="{E8F35ACF-9E1D-4902-8848-B0B68F70AC31}"/>
            </a:ext>
          </a:extLst>
        </xdr:cNvPr>
        <xdr:cNvSpPr/>
      </xdr:nvSpPr>
      <xdr:spPr>
        <a:xfrm>
          <a:off x="8569377" y="724525"/>
          <a:ext cx="1555230" cy="549638"/>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0" i="0" u="none" strike="noStrike">
              <a:solidFill>
                <a:srgbClr val="002060"/>
              </a:solidFill>
              <a:effectLst/>
              <a:latin typeface="+mn-lt"/>
              <a:ea typeface="Calibri"/>
              <a:cs typeface="Calibri"/>
            </a:rPr>
            <a:t>Top Product</a:t>
          </a:r>
        </a:p>
        <a:p>
          <a:pPr marL="0" marR="0" lvl="0" indent="0" algn="ctr" defTabSz="914400" eaLnBrk="1" fontAlgn="auto" latinLnBrk="0" hangingPunct="1">
            <a:lnSpc>
              <a:spcPct val="100000"/>
            </a:lnSpc>
            <a:spcBef>
              <a:spcPts val="0"/>
            </a:spcBef>
            <a:spcAft>
              <a:spcPts val="0"/>
            </a:spcAft>
            <a:buClrTx/>
            <a:buSzTx/>
            <a:buFontTx/>
            <a:buNone/>
            <a:tabLst/>
            <a:defRPr/>
          </a:pPr>
          <a:fld id="{33973341-593E-4EAE-9B2A-BC14A358F139}" type="TxLink">
            <a:rPr lang="en-US" sz="1100" b="0" i="0" u="none" strike="noStrike">
              <a:solidFill>
                <a:srgbClr val="002060"/>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Laptop</a:t>
          </a:fld>
          <a:endParaRPr lang="en-IN" sz="1100">
            <a:solidFill>
              <a:srgbClr val="002060"/>
            </a:solidFill>
          </a:endParaRPr>
        </a:p>
      </xdr:txBody>
    </xdr:sp>
    <xdr:clientData/>
  </xdr:twoCellAnchor>
  <xdr:twoCellAnchor>
    <xdr:from>
      <xdr:col>11</xdr:col>
      <xdr:colOff>171236</xdr:colOff>
      <xdr:row>24</xdr:row>
      <xdr:rowOff>68494</xdr:rowOff>
    </xdr:from>
    <xdr:to>
      <xdr:col>18</xdr:col>
      <xdr:colOff>342471</xdr:colOff>
      <xdr:row>25</xdr:row>
      <xdr:rowOff>162674</xdr:rowOff>
    </xdr:to>
    <xdr:sp macro="" textlink="">
      <xdr:nvSpPr>
        <xdr:cNvPr id="7" name="Rectangle 6">
          <a:extLst>
            <a:ext uri="{FF2B5EF4-FFF2-40B4-BE49-F238E27FC236}">
              <a16:creationId xmlns:a16="http://schemas.microsoft.com/office/drawing/2014/main" id="{AFBF649A-474B-4160-501C-7120C5FAB3AB}"/>
            </a:ext>
          </a:extLst>
        </xdr:cNvPr>
        <xdr:cNvSpPr/>
      </xdr:nvSpPr>
      <xdr:spPr>
        <a:xfrm>
          <a:off x="6858000" y="4383640"/>
          <a:ext cx="5145640" cy="27397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ysClr val="windowText" lastClr="000000"/>
              </a:solidFill>
            </a:rPr>
            <a:t>Product</a:t>
          </a:r>
          <a:r>
            <a:rPr lang="en-IN" sz="1400">
              <a:solidFill>
                <a:sysClr val="windowText" lastClr="000000"/>
              </a:solidFill>
            </a:rPr>
            <a:t> </a:t>
          </a:r>
          <a:r>
            <a:rPr lang="en-IN" sz="1400" b="1">
              <a:solidFill>
                <a:sysClr val="windowText" lastClr="000000"/>
              </a:solidFill>
            </a:rPr>
            <a:t>Performance</a:t>
          </a:r>
        </a:p>
      </xdr:txBody>
    </xdr:sp>
    <xdr:clientData/>
  </xdr:twoCellAnchor>
  <xdr:twoCellAnchor>
    <xdr:from>
      <xdr:col>11</xdr:col>
      <xdr:colOff>179798</xdr:colOff>
      <xdr:row>26</xdr:row>
      <xdr:rowOff>51372</xdr:rowOff>
    </xdr:from>
    <xdr:to>
      <xdr:col>13</xdr:col>
      <xdr:colOff>496585</xdr:colOff>
      <xdr:row>27</xdr:row>
      <xdr:rowOff>154115</xdr:rowOff>
    </xdr:to>
    <xdr:sp macro="" textlink="">
      <xdr:nvSpPr>
        <xdr:cNvPr id="8" name="Rectangle 7">
          <a:extLst>
            <a:ext uri="{FF2B5EF4-FFF2-40B4-BE49-F238E27FC236}">
              <a16:creationId xmlns:a16="http://schemas.microsoft.com/office/drawing/2014/main" id="{DCB51E58-360D-90D7-E931-F8EFF5B75225}"/>
            </a:ext>
          </a:extLst>
        </xdr:cNvPr>
        <xdr:cNvSpPr/>
      </xdr:nvSpPr>
      <xdr:spPr>
        <a:xfrm>
          <a:off x="6866562" y="4726114"/>
          <a:ext cx="1532562" cy="2825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ysClr val="windowText" lastClr="000000"/>
              </a:solidFill>
            </a:rPr>
            <a:t>Product</a:t>
          </a:r>
        </a:p>
      </xdr:txBody>
    </xdr:sp>
    <xdr:clientData/>
  </xdr:twoCellAnchor>
  <xdr:twoCellAnchor>
    <xdr:from>
      <xdr:col>14</xdr:col>
      <xdr:colOff>17125</xdr:colOff>
      <xdr:row>26</xdr:row>
      <xdr:rowOff>51370</xdr:rowOff>
    </xdr:from>
    <xdr:to>
      <xdr:col>16</xdr:col>
      <xdr:colOff>325350</xdr:colOff>
      <xdr:row>27</xdr:row>
      <xdr:rowOff>154113</xdr:rowOff>
    </xdr:to>
    <xdr:sp macro="" textlink="">
      <xdr:nvSpPr>
        <xdr:cNvPr id="11" name="Rectangle 10">
          <a:extLst>
            <a:ext uri="{FF2B5EF4-FFF2-40B4-BE49-F238E27FC236}">
              <a16:creationId xmlns:a16="http://schemas.microsoft.com/office/drawing/2014/main" id="{1F477CF8-323C-4976-A742-16969199483A}"/>
            </a:ext>
          </a:extLst>
        </xdr:cNvPr>
        <xdr:cNvSpPr/>
      </xdr:nvSpPr>
      <xdr:spPr>
        <a:xfrm>
          <a:off x="8527552" y="4726112"/>
          <a:ext cx="1524000" cy="2825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ysClr val="windowText" lastClr="000000"/>
              </a:solidFill>
            </a:rPr>
            <a:t>Revenue</a:t>
          </a:r>
        </a:p>
      </xdr:txBody>
    </xdr:sp>
    <xdr:clientData/>
  </xdr:twoCellAnchor>
  <xdr:twoCellAnchor>
    <xdr:from>
      <xdr:col>16</xdr:col>
      <xdr:colOff>393842</xdr:colOff>
      <xdr:row>26</xdr:row>
      <xdr:rowOff>59931</xdr:rowOff>
    </xdr:from>
    <xdr:to>
      <xdr:col>18</xdr:col>
      <xdr:colOff>351033</xdr:colOff>
      <xdr:row>27</xdr:row>
      <xdr:rowOff>162674</xdr:rowOff>
    </xdr:to>
    <xdr:sp macro="" textlink="">
      <xdr:nvSpPr>
        <xdr:cNvPr id="12" name="Rectangle 11">
          <a:extLst>
            <a:ext uri="{FF2B5EF4-FFF2-40B4-BE49-F238E27FC236}">
              <a16:creationId xmlns:a16="http://schemas.microsoft.com/office/drawing/2014/main" id="{838874FE-3F7D-406B-89CF-16EFAA153FD7}"/>
            </a:ext>
          </a:extLst>
        </xdr:cNvPr>
        <xdr:cNvSpPr/>
      </xdr:nvSpPr>
      <xdr:spPr>
        <a:xfrm>
          <a:off x="10120044" y="4734673"/>
          <a:ext cx="1532562" cy="2825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ysClr val="windowText" lastClr="000000"/>
              </a:solidFill>
            </a:rPr>
            <a:t>Share</a:t>
          </a:r>
        </a:p>
      </xdr:txBody>
    </xdr:sp>
    <xdr:clientData/>
  </xdr:twoCellAnchor>
  <xdr:twoCellAnchor editAs="oneCell">
    <xdr:from>
      <xdr:col>0</xdr:col>
      <xdr:colOff>8562</xdr:colOff>
      <xdr:row>15</xdr:row>
      <xdr:rowOff>145554</xdr:rowOff>
    </xdr:from>
    <xdr:to>
      <xdr:col>3</xdr:col>
      <xdr:colOff>13699</xdr:colOff>
      <xdr:row>23</xdr:row>
      <xdr:rowOff>145552</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07A68CBB-9C00-45AC-9CE9-CE1BABD52C5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62" y="2842520"/>
              <a:ext cx="1828800" cy="1438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154113</xdr:rowOff>
    </xdr:from>
    <xdr:to>
      <xdr:col>3</xdr:col>
      <xdr:colOff>5137</xdr:colOff>
      <xdr:row>34</xdr:row>
      <xdr:rowOff>0</xdr:rowOff>
    </xdr:to>
    <mc:AlternateContent xmlns:mc="http://schemas.openxmlformats.org/markup-compatibility/2006" xmlns:a14="http://schemas.microsoft.com/office/drawing/2010/main">
      <mc:Choice Requires="a14">
        <xdr:graphicFrame macro="">
          <xdr:nvGraphicFramePr>
            <xdr:cNvPr id="21" name="Product">
              <a:extLst>
                <a:ext uri="{FF2B5EF4-FFF2-40B4-BE49-F238E27FC236}">
                  <a16:creationId xmlns:a16="http://schemas.microsoft.com/office/drawing/2014/main" id="{68355BC4-CA9B-440B-B954-A4BD1F1ECD7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446925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8561</xdr:rowOff>
    </xdr:from>
    <xdr:to>
      <xdr:col>3</xdr:col>
      <xdr:colOff>5137</xdr:colOff>
      <xdr:row>14</xdr:row>
      <xdr:rowOff>138165</xdr:rowOff>
    </xdr:to>
    <mc:AlternateContent xmlns:mc="http://schemas.openxmlformats.org/markup-compatibility/2006" xmlns:a14="http://schemas.microsoft.com/office/drawing/2010/main">
      <mc:Choice Requires="a14">
        <xdr:graphicFrame macro="">
          <xdr:nvGraphicFramePr>
            <xdr:cNvPr id="18" name="Months (Date)">
              <a:extLst>
                <a:ext uri="{FF2B5EF4-FFF2-40B4-BE49-F238E27FC236}">
                  <a16:creationId xmlns:a16="http://schemas.microsoft.com/office/drawing/2014/main" id="{846AFAEB-E9F6-4DEA-AAD4-AB2B5762FCA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18835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jit" refreshedDate="46272.394853240738" createdVersion="8" refreshedVersion="8" minRefreshableVersion="3" recordCount="72" xr:uid="{D46F7785-3223-47F8-BA8B-90AD673781E6}">
  <cacheSource type="worksheet">
    <worksheetSource name="SalesTable"/>
  </cacheSource>
  <cacheFields count="10">
    <cacheField name="Date" numFmtId="17">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fieldGroup par="9"/>
    </cacheField>
    <cacheField name="Product" numFmtId="0">
      <sharedItems count="6">
        <s v="Laptop"/>
        <s v="Smartphone"/>
        <s v="Monitor"/>
        <s v="Keyboard"/>
        <s v="Headphones"/>
        <s v="Printer"/>
      </sharedItems>
    </cacheField>
    <cacheField name="Region" numFmtId="0">
      <sharedItems count="4">
        <s v="West"/>
        <s v="East"/>
        <s v="North"/>
        <s v="South"/>
      </sharedItems>
    </cacheField>
    <cacheField name="Units Sold" numFmtId="0">
      <sharedItems containsSemiMixedTypes="0" containsString="0" containsNumber="1" containsInteger="1" minValue="35" maxValue="179"/>
    </cacheField>
    <cacheField name="Unit Price" numFmtId="164">
      <sharedItems containsSemiMixedTypes="0" containsString="0" containsNumber="1" containsInteger="1" minValue="2500" maxValue="65000"/>
    </cacheField>
    <cacheField name="Discount" numFmtId="165">
      <sharedItems containsSemiMixedTypes="0" containsString="0" containsNumber="1" minValue="3.0171225667530981E-2" maxValue="0.1483467774746626"/>
    </cacheField>
    <cacheField name="Revenue" numFmtId="3">
      <sharedItems containsSemiMixedTypes="0" containsString="0" containsNumber="1" minValue="96512.13028675977" maxValue="9151720.9020702261"/>
    </cacheField>
    <cacheField name="Data Check" numFmtId="0">
      <sharedItems/>
    </cacheField>
    <cacheField name="Months (Date)" numFmtId="0" databaseField="0">
      <fieldGroup base="0">
        <rangePr groupBy="months" startDate="2025-01-01T00:00:00" endDate="2025-12-02T00:00:00"/>
        <groupItems count="14">
          <s v="&lt;01-01-2025"/>
          <s v="Jan"/>
          <s v="Feb"/>
          <s v="Mar"/>
          <s v="Apr"/>
          <s v="May"/>
          <s v="Jun"/>
          <s v="Jul"/>
          <s v="Aug"/>
          <s v="Sep"/>
          <s v="Oct"/>
          <s v="Nov"/>
          <s v="Dec"/>
          <s v="&gt;02-12-2025"/>
        </groupItems>
      </fieldGroup>
    </cacheField>
    <cacheField name="Years (Date)" numFmtId="0" databaseField="0">
      <fieldGroup base="0">
        <rangePr groupBy="years" startDate="2025-01-01T00:00:00" endDate="2025-12-02T00:00:00"/>
        <groupItems count="3">
          <s v="&lt;01-01-2025"/>
          <s v="2025"/>
          <s v="&gt;02-12-2025"/>
        </groupItems>
      </fieldGroup>
    </cacheField>
  </cacheFields>
  <extLst>
    <ext xmlns:x14="http://schemas.microsoft.com/office/spreadsheetml/2009/9/main" uri="{725AE2AE-9491-48be-B2B4-4EB974FC3084}">
      <x14:pivotCacheDefinition pivotCacheId="5244792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x v="0"/>
    <x v="0"/>
    <n v="60"/>
    <n v="65000"/>
    <n v="6.8276667092808385E-2"/>
    <n v="3633720.9983380474"/>
    <s v="OK"/>
  </r>
  <r>
    <x v="0"/>
    <x v="1"/>
    <x v="1"/>
    <n v="138"/>
    <n v="28000"/>
    <n v="0.14735874143959229"/>
    <n v="3294605.8230774156"/>
    <s v="OK"/>
  </r>
  <r>
    <x v="0"/>
    <x v="2"/>
    <x v="1"/>
    <n v="58"/>
    <n v="16000"/>
    <n v="9.0134455639192534E-2"/>
    <n v="844355.2251668293"/>
    <s v="OK"/>
  </r>
  <r>
    <x v="0"/>
    <x v="3"/>
    <x v="0"/>
    <n v="77"/>
    <n v="2500"/>
    <n v="6.2212677612224543E-2"/>
    <n v="180524.05955964679"/>
    <s v="OK"/>
  </r>
  <r>
    <x v="0"/>
    <x v="4"/>
    <x v="0"/>
    <n v="103"/>
    <n v="3500"/>
    <n v="0.134256174984937"/>
    <n v="312100.6489179302"/>
    <s v="OK"/>
  </r>
  <r>
    <x v="0"/>
    <x v="5"/>
    <x v="1"/>
    <n v="35"/>
    <n v="12000"/>
    <n v="3.7912361628708612E-2"/>
    <n v="404076.8081159424"/>
    <s v="OK"/>
  </r>
  <r>
    <x v="1"/>
    <x v="0"/>
    <x v="2"/>
    <n v="41"/>
    <n v="65000"/>
    <n v="0.1391512233263536"/>
    <n v="2294161.9898352674"/>
    <s v="OK"/>
  </r>
  <r>
    <x v="1"/>
    <x v="1"/>
    <x v="0"/>
    <n v="104"/>
    <n v="28000"/>
    <n v="0.14154338294077459"/>
    <n v="2499825.6688764645"/>
    <s v="OK"/>
  </r>
  <r>
    <x v="1"/>
    <x v="2"/>
    <x v="2"/>
    <n v="147"/>
    <n v="16000"/>
    <n v="0.10206587009569471"/>
    <n v="2111941.0735349259"/>
    <s v="OK"/>
  </r>
  <r>
    <x v="1"/>
    <x v="3"/>
    <x v="1"/>
    <n v="69"/>
    <n v="2500"/>
    <n v="5.7636345482515769E-2"/>
    <n v="162557.73040426604"/>
    <s v="OK"/>
  </r>
  <r>
    <x v="1"/>
    <x v="4"/>
    <x v="3"/>
    <n v="73"/>
    <n v="3500"/>
    <n v="0.13909540498640779"/>
    <n v="219961.12402597279"/>
    <s v="OK"/>
  </r>
  <r>
    <x v="1"/>
    <x v="5"/>
    <x v="2"/>
    <n v="122"/>
    <n v="12000"/>
    <n v="9.2809509680851901E-2"/>
    <n v="1328126.8778272329"/>
    <s v="OK"/>
  </r>
  <r>
    <x v="2"/>
    <x v="0"/>
    <x v="2"/>
    <n v="118"/>
    <n v="65000"/>
    <n v="0.11028158890606959"/>
    <n v="6824140.2130904468"/>
    <s v="OK"/>
  </r>
  <r>
    <x v="2"/>
    <x v="1"/>
    <x v="3"/>
    <n v="179"/>
    <n v="28000"/>
    <n v="5.4581890835735412E-2"/>
    <n v="4738435.5631312942"/>
    <s v="OK"/>
  </r>
  <r>
    <x v="2"/>
    <x v="2"/>
    <x v="0"/>
    <n v="127"/>
    <n v="16000"/>
    <n v="0.14414980126386981"/>
    <n v="1739087.6038318167"/>
    <s v="OK"/>
  </r>
  <r>
    <x v="2"/>
    <x v="3"/>
    <x v="2"/>
    <n v="45"/>
    <n v="2500"/>
    <n v="6.3181764934585674E-2"/>
    <n v="105392.05144485911"/>
    <s v="OK"/>
  </r>
  <r>
    <x v="2"/>
    <x v="4"/>
    <x v="2"/>
    <n v="96"/>
    <n v="3500"/>
    <n v="0.14494964746891981"/>
    <n v="287296.91845044296"/>
    <s v="OK"/>
  </r>
  <r>
    <x v="2"/>
    <x v="5"/>
    <x v="0"/>
    <n v="135"/>
    <n v="12000"/>
    <n v="8.434115190556804E-2"/>
    <n v="1483367.3339129798"/>
    <s v="OK"/>
  </r>
  <r>
    <x v="3"/>
    <x v="0"/>
    <x v="0"/>
    <n v="158"/>
    <n v="65000"/>
    <n v="0.108887935533571"/>
    <n v="9151720.9020702261"/>
    <s v="OK"/>
  </r>
  <r>
    <x v="3"/>
    <x v="1"/>
    <x v="0"/>
    <n v="39"/>
    <n v="28000"/>
    <n v="8.200105969845424E-2"/>
    <n v="1002454.8428092879"/>
    <s v="OK"/>
  </r>
  <r>
    <x v="3"/>
    <x v="2"/>
    <x v="3"/>
    <n v="65"/>
    <n v="16000"/>
    <n v="0.1483467774746626"/>
    <n v="885719.35142635088"/>
    <s v="OK"/>
  </r>
  <r>
    <x v="3"/>
    <x v="3"/>
    <x v="0"/>
    <n v="162"/>
    <n v="2500"/>
    <n v="6.6040689130759861E-2"/>
    <n v="378253.52090204222"/>
    <s v="OK"/>
  </r>
  <r>
    <x v="3"/>
    <x v="4"/>
    <x v="0"/>
    <n v="56"/>
    <n v="3500"/>
    <n v="0.1088366778399702"/>
    <n v="174668.01114336585"/>
    <s v="OK"/>
  </r>
  <r>
    <x v="3"/>
    <x v="5"/>
    <x v="3"/>
    <n v="82"/>
    <n v="12000"/>
    <n v="3.0171225667530981E-2"/>
    <n v="954311.51394314959"/>
    <s v="OK"/>
  </r>
  <r>
    <x v="4"/>
    <x v="0"/>
    <x v="2"/>
    <n v="142"/>
    <n v="65000"/>
    <n v="0.1151273272470255"/>
    <n v="8167374.7695099553"/>
    <s v="OK"/>
  </r>
  <r>
    <x v="4"/>
    <x v="1"/>
    <x v="2"/>
    <n v="102"/>
    <n v="28000"/>
    <n v="0.1135392556220363"/>
    <n v="2531731.8859434645"/>
    <s v="OK"/>
  </r>
  <r>
    <x v="4"/>
    <x v="2"/>
    <x v="0"/>
    <n v="55"/>
    <n v="16000"/>
    <n v="0.11194966252505011"/>
    <n v="781484.29697795585"/>
    <s v="OK"/>
  </r>
  <r>
    <x v="4"/>
    <x v="3"/>
    <x v="2"/>
    <n v="94"/>
    <n v="2500"/>
    <n v="6.7062322183655654E-2"/>
    <n v="219240.35428684091"/>
    <s v="OK"/>
  </r>
  <r>
    <x v="4"/>
    <x v="4"/>
    <x v="1"/>
    <n v="78"/>
    <n v="3500"/>
    <n v="5.8214448870895719E-2"/>
    <n v="257107.45545824544"/>
    <s v="OK"/>
  </r>
  <r>
    <x v="4"/>
    <x v="5"/>
    <x v="0"/>
    <n v="89"/>
    <n v="12000"/>
    <n v="0.1434057868551353"/>
    <n v="914842.61963871552"/>
    <s v="OK"/>
  </r>
  <r>
    <x v="5"/>
    <x v="0"/>
    <x v="2"/>
    <n v="74"/>
    <n v="65000"/>
    <n v="0.13097720578780769"/>
    <n v="4179999.6401606449"/>
    <s v="OK"/>
  </r>
  <r>
    <x v="5"/>
    <x v="1"/>
    <x v="1"/>
    <n v="114"/>
    <n v="28000"/>
    <n v="3.4757531103190527E-2"/>
    <n v="3081053.9607186159"/>
    <s v="OK"/>
  </r>
  <r>
    <x v="5"/>
    <x v="2"/>
    <x v="2"/>
    <n v="152"/>
    <n v="16000"/>
    <n v="8.8299027445067596E-2"/>
    <n v="2217256.7652535955"/>
    <s v="OK"/>
  </r>
  <r>
    <x v="5"/>
    <x v="3"/>
    <x v="0"/>
    <n v="170"/>
    <n v="2500"/>
    <n v="9.0230818680905836E-2"/>
    <n v="386651.90206061502"/>
    <s v="OK"/>
  </r>
  <r>
    <x v="5"/>
    <x v="4"/>
    <x v="3"/>
    <n v="135"/>
    <n v="3500"/>
    <n v="4.9860168055894487E-2"/>
    <n v="448941.07059358986"/>
    <s v="OK"/>
  </r>
  <r>
    <x v="5"/>
    <x v="5"/>
    <x v="2"/>
    <n v="64"/>
    <n v="12000"/>
    <n v="8.3774478900326799E-2"/>
    <n v="703661.20020454901"/>
    <s v="OK"/>
  </r>
  <r>
    <x v="6"/>
    <x v="0"/>
    <x v="1"/>
    <n v="47"/>
    <n v="65000"/>
    <n v="4.3200663740006341E-2"/>
    <n v="2923021.9722742806"/>
    <s v="OK"/>
  </r>
  <r>
    <x v="6"/>
    <x v="1"/>
    <x v="3"/>
    <n v="141"/>
    <n v="28000"/>
    <n v="0.1364746742223282"/>
    <n v="3409197.9861702486"/>
    <s v="OK"/>
  </r>
  <r>
    <x v="6"/>
    <x v="2"/>
    <x v="3"/>
    <n v="128"/>
    <n v="16000"/>
    <n v="0.12605748587981561"/>
    <n v="1789834.2689181378"/>
    <s v="OK"/>
  </r>
  <r>
    <x v="6"/>
    <x v="3"/>
    <x v="1"/>
    <n v="40"/>
    <n v="2500"/>
    <n v="3.4878697132402291E-2"/>
    <n v="96512.13028675977"/>
    <s v="OK"/>
  </r>
  <r>
    <x v="6"/>
    <x v="4"/>
    <x v="2"/>
    <n v="111"/>
    <n v="3500"/>
    <n v="6.3187568694136109E-2"/>
    <n v="363951.6295623281"/>
    <s v="OK"/>
  </r>
  <r>
    <x v="6"/>
    <x v="5"/>
    <x v="0"/>
    <n v="122"/>
    <n v="12000"/>
    <n v="4.7657708633003157E-2"/>
    <n v="1394229.1145612835"/>
    <s v="OK"/>
  </r>
  <r>
    <x v="7"/>
    <x v="0"/>
    <x v="1"/>
    <n v="111"/>
    <n v="65000"/>
    <n v="3.8310248401180247E-2"/>
    <n v="6938591.5577854849"/>
    <s v="OK"/>
  </r>
  <r>
    <x v="7"/>
    <x v="1"/>
    <x v="3"/>
    <n v="155"/>
    <n v="28000"/>
    <n v="0.12753954601964471"/>
    <n v="3786478.3702747421"/>
    <s v="OK"/>
  </r>
  <r>
    <x v="7"/>
    <x v="2"/>
    <x v="0"/>
    <n v="142"/>
    <n v="16000"/>
    <n v="0.1185359132839691"/>
    <n v="2002686.4050188223"/>
    <s v="OK"/>
  </r>
  <r>
    <x v="7"/>
    <x v="3"/>
    <x v="3"/>
    <n v="156"/>
    <n v="2500"/>
    <n v="9.1608120209404773E-2"/>
    <n v="354272.83311833214"/>
    <s v="OK"/>
  </r>
  <r>
    <x v="7"/>
    <x v="4"/>
    <x v="1"/>
    <n v="120"/>
    <n v="3500"/>
    <n v="0.14275113080933641"/>
    <n v="360044.52506007871"/>
    <s v="OK"/>
  </r>
  <r>
    <x v="7"/>
    <x v="5"/>
    <x v="1"/>
    <n v="178"/>
    <n v="12000"/>
    <n v="0.12759555245140561"/>
    <n v="1863455.8999637975"/>
    <s v="OK"/>
  </r>
  <r>
    <x v="8"/>
    <x v="0"/>
    <x v="3"/>
    <n v="98"/>
    <n v="65000"/>
    <n v="0.1004065104798757"/>
    <n v="5730410.5282431915"/>
    <s v="OK"/>
  </r>
  <r>
    <x v="8"/>
    <x v="1"/>
    <x v="3"/>
    <n v="70"/>
    <n v="28000"/>
    <n v="0.1274787016783035"/>
    <n v="1710141.7447105253"/>
    <s v="OK"/>
  </r>
  <r>
    <x v="8"/>
    <x v="2"/>
    <x v="0"/>
    <n v="80"/>
    <n v="16000"/>
    <n v="5.6889436433558323E-2"/>
    <n v="1207181.5213650453"/>
    <s v="OK"/>
  </r>
  <r>
    <x v="8"/>
    <x v="3"/>
    <x v="1"/>
    <n v="177"/>
    <n v="2500"/>
    <n v="5.0342846827945098E-2"/>
    <n v="420223.29027863429"/>
    <s v="OK"/>
  </r>
  <r>
    <x v="8"/>
    <x v="4"/>
    <x v="2"/>
    <n v="131"/>
    <n v="3500"/>
    <n v="0.1328370751334112"/>
    <n v="397594.20105133101"/>
    <s v="OK"/>
  </r>
  <r>
    <x v="8"/>
    <x v="5"/>
    <x v="3"/>
    <n v="44"/>
    <n v="12000"/>
    <n v="9.2710932769006202E-2"/>
    <n v="479048.62749796471"/>
    <s v="OK"/>
  </r>
  <r>
    <x v="9"/>
    <x v="0"/>
    <x v="2"/>
    <n v="36"/>
    <n v="65000"/>
    <n v="5.0292127603845993E-2"/>
    <n v="2222316.4214070006"/>
    <s v="OK"/>
  </r>
  <r>
    <x v="9"/>
    <x v="1"/>
    <x v="1"/>
    <n v="83"/>
    <n v="28000"/>
    <n v="0.13910189565130179"/>
    <n v="2000727.1945063747"/>
    <s v="OK"/>
  </r>
  <r>
    <x v="9"/>
    <x v="2"/>
    <x v="1"/>
    <n v="117"/>
    <n v="16000"/>
    <n v="0.13144141905167681"/>
    <n v="1625941.6635352611"/>
    <s v="OK"/>
  </r>
  <r>
    <x v="9"/>
    <x v="3"/>
    <x v="1"/>
    <n v="45"/>
    <n v="2500"/>
    <n v="0.1097962755485713"/>
    <n v="100147.91900078573"/>
    <s v="OK"/>
  </r>
  <r>
    <x v="9"/>
    <x v="4"/>
    <x v="0"/>
    <n v="62"/>
    <n v="3500"/>
    <n v="9.5965694496087287E-2"/>
    <n v="196175.44429434906"/>
    <s v="OK"/>
  </r>
  <r>
    <x v="9"/>
    <x v="5"/>
    <x v="1"/>
    <n v="135"/>
    <n v="12000"/>
    <n v="8.5546415699899625E-2"/>
    <n v="1481414.8065661625"/>
    <s v="OK"/>
  </r>
  <r>
    <x v="10"/>
    <x v="0"/>
    <x v="0"/>
    <n v="89"/>
    <n v="65000"/>
    <n v="3.5371951301416682E-2"/>
    <n v="5580373.2617213046"/>
    <s v="OK"/>
  </r>
  <r>
    <x v="10"/>
    <x v="1"/>
    <x v="0"/>
    <n v="178"/>
    <n v="28000"/>
    <n v="0.13354664689030249"/>
    <n v="4318403.5118987327"/>
    <s v="OK"/>
  </r>
  <r>
    <x v="10"/>
    <x v="2"/>
    <x v="2"/>
    <n v="79"/>
    <n v="16000"/>
    <n v="9.2966380412235816E-2"/>
    <n v="1146490.495158934"/>
    <s v="OK"/>
  </r>
  <r>
    <x v="10"/>
    <x v="3"/>
    <x v="3"/>
    <n v="162"/>
    <n v="2500"/>
    <n v="4.6148455037362507E-2"/>
    <n v="386309.87570986815"/>
    <s v="OK"/>
  </r>
  <r>
    <x v="10"/>
    <x v="4"/>
    <x v="1"/>
    <n v="179"/>
    <n v="3500"/>
    <n v="0.1008415025167602"/>
    <n v="563322.79867324978"/>
    <s v="OK"/>
  </r>
  <r>
    <x v="10"/>
    <x v="5"/>
    <x v="2"/>
    <n v="75"/>
    <n v="12000"/>
    <n v="0.1471456586494472"/>
    <n v="767568.90721549757"/>
    <s v="OK"/>
  </r>
  <r>
    <x v="11"/>
    <x v="0"/>
    <x v="3"/>
    <n v="142"/>
    <n v="65000"/>
    <n v="3.8605945256924908E-2"/>
    <n v="8873667.1252785828"/>
    <s v="OK"/>
  </r>
  <r>
    <x v="11"/>
    <x v="1"/>
    <x v="2"/>
    <n v="145"/>
    <n v="28000"/>
    <n v="5.914828728908611E-2"/>
    <n v="3819857.9536063108"/>
    <s v="OK"/>
  </r>
  <r>
    <x v="11"/>
    <x v="2"/>
    <x v="1"/>
    <n v="170"/>
    <n v="16000"/>
    <n v="0.13394388409012689"/>
    <n v="2355672.635274855"/>
    <s v="OK"/>
  </r>
  <r>
    <x v="11"/>
    <x v="3"/>
    <x v="1"/>
    <n v="113"/>
    <n v="2500"/>
    <n v="3.2868363137079699E-2"/>
    <n v="273214.68741377495"/>
    <s v="OK"/>
  </r>
  <r>
    <x v="11"/>
    <x v="4"/>
    <x v="0"/>
    <n v="140"/>
    <n v="3500"/>
    <n v="4.4475891396738979E-2"/>
    <n v="468206.81321559788"/>
    <s v="OK"/>
  </r>
  <r>
    <x v="11"/>
    <x v="5"/>
    <x v="2"/>
    <n v="170"/>
    <n v="12000"/>
    <n v="3.3652711999874782E-2"/>
    <n v="1971348.4675202556"/>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01F326-A4F8-470D-90D0-73117159A18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Top Product">
  <location ref="G3:H10" firstHeaderRow="1" firstDataRow="1" firstDataCol="1"/>
  <pivotFields count="10">
    <pivotField numFmtId="17" showAll="0">
      <items count="13">
        <item x="0"/>
        <item x="1"/>
        <item x="2"/>
        <item x="3"/>
        <item x="4"/>
        <item x="5"/>
        <item x="6"/>
        <item x="7"/>
        <item x="8"/>
        <item x="9"/>
        <item x="10"/>
        <item x="11"/>
        <item t="default"/>
      </items>
    </pivotField>
    <pivotField axis="axisRow" showAll="0" sortType="descending">
      <items count="7">
        <item x="4"/>
        <item x="3"/>
        <item x="0"/>
        <item x="2"/>
        <item x="5"/>
        <item x="1"/>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numFmtId="164" showAll="0"/>
    <pivotField numFmtId="165" showAll="0"/>
    <pivotField dataField="1" numFmtId="3"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
  </rowFields>
  <rowItems count="7">
    <i>
      <x v="2"/>
    </i>
    <i>
      <x v="5"/>
    </i>
    <i>
      <x v="3"/>
    </i>
    <i>
      <x v="4"/>
    </i>
    <i>
      <x/>
    </i>
    <i>
      <x v="1"/>
    </i>
    <i t="grand">
      <x/>
    </i>
  </rowItems>
  <colItems count="1">
    <i/>
  </colItems>
  <dataFields count="1">
    <dataField name=" Revenue" fld="6" baseField="1" baseItem="2" numFmtId="3"/>
  </dataFields>
  <chartFormats count="7">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74FADB-D676-47B7-B11D-C6BE1B94F77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0">
    <pivotField numFmtId="17" showAll="0">
      <items count="13">
        <item x="0"/>
        <item x="1"/>
        <item x="2"/>
        <item x="3"/>
        <item x="4"/>
        <item x="5"/>
        <item x="6"/>
        <item x="7"/>
        <item x="8"/>
        <item x="9"/>
        <item x="10"/>
        <item x="11"/>
        <item t="default"/>
      </items>
    </pivotField>
    <pivotField showAll="0"/>
    <pivotField showAll="0"/>
    <pivotField showAll="0"/>
    <pivotField numFmtId="164" showAll="0"/>
    <pivotField numFmtId="165" showAll="0"/>
    <pivotField dataField="1" numFmtId="3"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Items count="1">
    <i/>
  </rowItems>
  <colItems count="1">
    <i/>
  </colItems>
  <dataFields count="1">
    <dataField name="Average Order Value" fld="6"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9DE230-7894-4982-B469-B14EC61578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M3:N8" firstHeaderRow="1" firstDataRow="1" firstDataCol="1"/>
  <pivotFields count="10">
    <pivotField numFmtId="17" showAll="0">
      <items count="13">
        <item x="0"/>
        <item x="1"/>
        <item x="2"/>
        <item x="3"/>
        <item x="4"/>
        <item x="5"/>
        <item x="6"/>
        <item x="7"/>
        <item x="8"/>
        <item x="9"/>
        <item x="10"/>
        <item x="11"/>
        <item t="default"/>
      </items>
    </pivotField>
    <pivotField showAll="0">
      <items count="7">
        <item x="4"/>
        <item x="3"/>
        <item x="0"/>
        <item x="2"/>
        <item x="5"/>
        <item x="1"/>
        <item t="default"/>
      </items>
    </pivotField>
    <pivotField axis="axisRow" showAll="0">
      <items count="5">
        <item x="1"/>
        <item x="2"/>
        <item x="3"/>
        <item x="0"/>
        <item t="default"/>
      </items>
    </pivotField>
    <pivotField showAll="0"/>
    <pivotField numFmtId="164" showAll="0"/>
    <pivotField numFmtId="165" showAll="0"/>
    <pivotField dataField="1" numFmtId="3" showAll="0"/>
    <pivotField showAll="0"/>
    <pivotField showAll="0" defaultSubtotal="0"/>
    <pivotField showAll="0" defaultSubtotal="0">
      <items count="3">
        <item x="0"/>
        <item x="1"/>
        <item x="2"/>
      </items>
    </pivotField>
  </pivotFields>
  <rowFields count="1">
    <field x="2"/>
  </rowFields>
  <rowItems count="5">
    <i>
      <x/>
    </i>
    <i>
      <x v="1"/>
    </i>
    <i>
      <x v="2"/>
    </i>
    <i>
      <x v="3"/>
    </i>
    <i t="grand">
      <x/>
    </i>
  </rowItems>
  <colItems count="1">
    <i/>
  </colItems>
  <dataFields count="1">
    <dataField name="Revenue by Region" fld="6" baseField="2" baseItem="0" numFmtId="3"/>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68FFC7-E1B6-4CBB-A249-559AD86C864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0">
    <pivotField numFmtId="17" showAll="0">
      <items count="13">
        <item x="0"/>
        <item x="1"/>
        <item x="2"/>
        <item x="3"/>
        <item x="4"/>
        <item x="5"/>
        <item x="6"/>
        <item x="7"/>
        <item x="8"/>
        <item x="9"/>
        <item x="10"/>
        <item x="11"/>
        <item t="default"/>
      </items>
    </pivotField>
    <pivotField showAll="0"/>
    <pivotField showAll="0"/>
    <pivotField dataField="1" showAll="0"/>
    <pivotField numFmtId="164" showAll="0"/>
    <pivotField numFmtId="165" showAll="0"/>
    <pivotField numFmtId="3"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Items count="1">
    <i/>
  </rowItems>
  <colItems count="1">
    <i/>
  </colItems>
  <dataFields count="1">
    <dataField name="Total Units "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E4A919-1E8B-4281-B0D1-133DECE00A2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numFmtId="17" showAll="0">
      <items count="13">
        <item x="0"/>
        <item x="1"/>
        <item x="2"/>
        <item x="3"/>
        <item x="4"/>
        <item x="5"/>
        <item x="6"/>
        <item x="7"/>
        <item x="8"/>
        <item x="9"/>
        <item x="10"/>
        <item x="11"/>
        <item t="default"/>
      </items>
    </pivotField>
    <pivotField showAll="0"/>
    <pivotField showAll="0"/>
    <pivotField showAll="0"/>
    <pivotField numFmtId="164" showAll="0"/>
    <pivotField numFmtId="165" showAll="0"/>
    <pivotField dataField="1" numFmtId="3"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Items count="1">
    <i/>
  </rowItems>
  <colItems count="1">
    <i/>
  </colItems>
  <dataFields count="1">
    <dataField name="Total Revenue" fld="6"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1C029C-AC85-48C5-B253-0596CE577D1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s">
  <location ref="J3:K17" firstHeaderRow="1" firstDataRow="1" firstDataCol="1"/>
  <pivotFields count="10">
    <pivotField numFmtId="17" showAll="0">
      <items count="13">
        <item x="0"/>
        <item x="1"/>
        <item x="2"/>
        <item x="3"/>
        <item x="4"/>
        <item x="5"/>
        <item x="6"/>
        <item x="7"/>
        <item x="8"/>
        <item x="9"/>
        <item x="10"/>
        <item x="11"/>
        <item t="default"/>
      </items>
    </pivotField>
    <pivotField showAll="0">
      <items count="7">
        <item x="4"/>
        <item x="3"/>
        <item x="0"/>
        <item x="2"/>
        <item x="5"/>
        <item x="1"/>
        <item t="default"/>
      </items>
    </pivotField>
    <pivotField showAll="0"/>
    <pivotField showAll="0"/>
    <pivotField numFmtId="164" showAll="0"/>
    <pivotField numFmtId="165" showAll="0"/>
    <pivotField dataField="1" numFmtId="3"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9"/>
    <field x="8"/>
  </rowFields>
  <rowItems count="14">
    <i>
      <x v="1"/>
    </i>
    <i r="1">
      <x v="1"/>
    </i>
    <i r="1">
      <x v="2"/>
    </i>
    <i r="1">
      <x v="3"/>
    </i>
    <i r="1">
      <x v="4"/>
    </i>
    <i r="1">
      <x v="5"/>
    </i>
    <i r="1">
      <x v="6"/>
    </i>
    <i r="1">
      <x v="7"/>
    </i>
    <i r="1">
      <x v="8"/>
    </i>
    <i r="1">
      <x v="9"/>
    </i>
    <i r="1">
      <x v="10"/>
    </i>
    <i r="1">
      <x v="11"/>
    </i>
    <i r="1">
      <x v="12"/>
    </i>
    <i t="grand">
      <x/>
    </i>
  </rowItems>
  <colItems count="1">
    <i/>
  </colItems>
  <dataFields count="1">
    <dataField name="Sum of Revenue" fld="6" baseField="0" baseItem="0" numFmtId="3"/>
  </dataFields>
  <chartFormats count="13">
    <chartFormat chart="1" format="0" series="1">
      <pivotArea type="data" outline="0" fieldPosition="0">
        <references count="1">
          <reference field="4294967294" count="1" selected="0">
            <x v="0"/>
          </reference>
        </references>
      </pivotArea>
    </chartFormat>
    <chartFormat chart="1" format="1">
      <pivotArea type="data" outline="0" fieldPosition="0">
        <references count="3">
          <reference field="4294967294" count="1" selected="0">
            <x v="0"/>
          </reference>
          <reference field="8" count="1" selected="0">
            <x v="1"/>
          </reference>
          <reference field="9" count="1" selected="0">
            <x v="1"/>
          </reference>
        </references>
      </pivotArea>
    </chartFormat>
    <chartFormat chart="1" format="2">
      <pivotArea type="data" outline="0" fieldPosition="0">
        <references count="3">
          <reference field="4294967294" count="1" selected="0">
            <x v="0"/>
          </reference>
          <reference field="8" count="1" selected="0">
            <x v="5"/>
          </reference>
          <reference field="9"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3">
          <reference field="4294967294" count="1" selected="0">
            <x v="0"/>
          </reference>
          <reference field="8" count="1" selected="0">
            <x v="1"/>
          </reference>
          <reference field="9" count="1" selected="0">
            <x v="1"/>
          </reference>
        </references>
      </pivotArea>
    </chartFormat>
    <chartFormat chart="3" format="8">
      <pivotArea type="data" outline="0" fieldPosition="0">
        <references count="3">
          <reference field="4294967294" count="1" selected="0">
            <x v="0"/>
          </reference>
          <reference field="8" count="1" selected="0">
            <x v="5"/>
          </reference>
          <reference field="9" count="1" selected="0">
            <x v="1"/>
          </reference>
        </references>
      </pivotArea>
    </chartFormat>
    <chartFormat chart="3" format="9">
      <pivotArea type="data" outline="0" fieldPosition="0">
        <references count="3">
          <reference field="4294967294" count="1" selected="0">
            <x v="0"/>
          </reference>
          <reference field="8" count="1" selected="0">
            <x v="4"/>
          </reference>
          <reference field="9" count="1" selected="0">
            <x v="1"/>
          </reference>
        </references>
      </pivotArea>
    </chartFormat>
    <chartFormat chart="3" format="10">
      <pivotArea type="data" outline="0" fieldPosition="0">
        <references count="3">
          <reference field="4294967294" count="1" selected="0">
            <x v="0"/>
          </reference>
          <reference field="8" count="1" selected="0">
            <x v="2"/>
          </reference>
          <reference field="9" count="1" selected="0">
            <x v="1"/>
          </reference>
        </references>
      </pivotArea>
    </chartFormat>
    <chartFormat chart="3" format="11">
      <pivotArea type="data" outline="0" fieldPosition="0">
        <references count="3">
          <reference field="4294967294" count="1" selected="0">
            <x v="0"/>
          </reference>
          <reference field="8" count="1" selected="0">
            <x v="7"/>
          </reference>
          <reference field="9" count="1" selected="0">
            <x v="1"/>
          </reference>
        </references>
      </pivotArea>
    </chartFormat>
    <chartFormat chart="3" format="12">
      <pivotArea type="data" outline="0" fieldPosition="0">
        <references count="3">
          <reference field="4294967294" count="1" selected="0">
            <x v="0"/>
          </reference>
          <reference field="8" count="1" selected="0">
            <x v="6"/>
          </reference>
          <reference field="9" count="1" selected="0">
            <x v="1"/>
          </reference>
        </references>
      </pivotArea>
    </chartFormat>
    <chartFormat chart="3" format="13">
      <pivotArea type="data" outline="0" fieldPosition="0">
        <references count="3">
          <reference field="4294967294" count="1" selected="0">
            <x v="0"/>
          </reference>
          <reference field="8" count="1" selected="0">
            <x v="9"/>
          </reference>
          <reference field="9" count="1" selected="0">
            <x v="1"/>
          </reference>
        </references>
      </pivotArea>
    </chartFormat>
    <chartFormat chart="3" format="14">
      <pivotArea type="data" outline="0" fieldPosition="0">
        <references count="3">
          <reference field="4294967294" count="1" selected="0">
            <x v="0"/>
          </reference>
          <reference field="8" count="1" selected="0">
            <x v="11"/>
          </reference>
          <reference field="9" count="1" selected="0">
            <x v="1"/>
          </reference>
        </references>
      </pivotArea>
    </chartFormat>
    <chartFormat chart="3" format="15">
      <pivotArea type="data" outline="0" fieldPosition="0">
        <references count="3">
          <reference field="4294967294" count="1" selected="0">
            <x v="0"/>
          </reference>
          <reference field="8" count="1" selected="0">
            <x v="1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2F7D5EA-5A76-43B7-B5A5-6C2F098020C2}" sourceName="Region">
  <pivotTables>
    <pivotTable tabId="22" name="PivotTable2"/>
    <pivotTable tabId="22" name="PivotTable13"/>
  </pivotTables>
  <data>
    <tabular pivotCacheId="524479229">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CCB1BA8-4A83-41E2-970E-E667D91BFF40}" sourceName="Product">
  <pivotTables>
    <pivotTable tabId="22" name="PivotTable13"/>
  </pivotTables>
  <data>
    <tabular pivotCacheId="524479229">
      <items count="6">
        <i x="4" s="1"/>
        <i x="3" s="1"/>
        <i x="0" s="1"/>
        <i x="2"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2A72BE0-8A69-4122-8920-EA008C10F4D2}" sourceName="Months (Date)">
  <pivotTables>
    <pivotTable tabId="22" name="PivotTable14"/>
    <pivotTable tabId="22" name="PivotTable13"/>
  </pivotTables>
  <data>
    <tabular pivotCacheId="52447922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DF5DF85-4E34-4876-95FF-8E04995B2049}" cache="Slicer_Region" caption="Region" rowHeight="234950"/>
  <slicer name="Product" xr10:uid="{ECA4F16A-1AC3-4FF9-B0A2-CF3A9AF9257B}" cache="Slicer_Product" caption="Product" rowHeight="234950"/>
  <slicer name="Months (Date)" xr10:uid="{5B22CC8C-A1C4-4412-8A5F-C9A11A6B96D0}" cache="Slicer_Months__Date" caption="Months (Date)" startItem="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C807B1-58DC-4707-A229-B37601C2F501}" name="SalesTable" displayName="SalesTable" ref="A1:H73" totalsRowShown="0" headerRowDxfId="9" dataDxfId="8">
  <autoFilter ref="A1:H73" xr:uid="{BEC807B1-58DC-4707-A229-B37601C2F501}"/>
  <tableColumns count="8">
    <tableColumn id="1" xr3:uid="{093FE69A-8D75-457D-8368-793176A3B28B}" name="Date" dataDxfId="7"/>
    <tableColumn id="2" xr3:uid="{41294259-3367-41CA-B190-4A953B8DD612}" name="Product" dataDxfId="6"/>
    <tableColumn id="3" xr3:uid="{CD384CB1-D405-4334-A840-DB4C863D9658}" name="Region" dataDxfId="5"/>
    <tableColumn id="4" xr3:uid="{6CAA1232-D324-49AD-B0DB-5A410262B460}" name="Units Sold" dataDxfId="4"/>
    <tableColumn id="5" xr3:uid="{AC1B7078-C1B6-48EA-9440-5A1A1E679CD0}" name="Unit Price" dataDxfId="3"/>
    <tableColumn id="6" xr3:uid="{5894DB0A-5F32-4D8F-B29A-8AFE33670F1B}" name="Discount" dataDxfId="2"/>
    <tableColumn id="7" xr3:uid="{03C60EE0-3361-4D75-897D-B141A70E90ED}" name="Revenue" dataDxfId="1">
      <calculatedColumnFormula>D2*E2*(1-F2)</calculatedColumnFormula>
    </tableColumn>
    <tableColumn id="8" xr3:uid="{38BB5BC7-55F3-40D6-BAFD-9D162FC2E27A}" name="Data Check" dataDxfId="0">
      <calculatedColumnFormula>IF(AND(D2&gt;=1,E2&gt;=0),"OK","CHECK")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E9E89-D992-45E7-B7BD-647E279BBAA2}">
  <dimension ref="A1:R50"/>
  <sheetViews>
    <sheetView showGridLines="0" tabSelected="1" zoomScale="89" zoomScaleNormal="89" workbookViewId="0">
      <selection activeCell="U19" sqref="U19"/>
    </sheetView>
  </sheetViews>
  <sheetFormatPr defaultRowHeight="14.4" x14ac:dyDescent="0.3"/>
  <cols>
    <col min="16" max="17" width="14.109375" bestFit="1" customWidth="1"/>
  </cols>
  <sheetData>
    <row r="1" spans="1:3" x14ac:dyDescent="0.3">
      <c r="A1" s="11"/>
      <c r="B1" s="11"/>
      <c r="C1" s="11"/>
    </row>
    <row r="2" spans="1:3" x14ac:dyDescent="0.3">
      <c r="A2" s="11"/>
      <c r="B2" s="11"/>
      <c r="C2" s="11"/>
    </row>
    <row r="3" spans="1:3" x14ac:dyDescent="0.3">
      <c r="A3" s="11"/>
      <c r="B3" s="11"/>
      <c r="C3" s="11"/>
    </row>
    <row r="4" spans="1:3" x14ac:dyDescent="0.3">
      <c r="A4" s="11"/>
      <c r="B4" s="11"/>
      <c r="C4" s="11"/>
    </row>
    <row r="5" spans="1:3" x14ac:dyDescent="0.3">
      <c r="A5" s="11"/>
      <c r="B5" s="11"/>
      <c r="C5" s="11"/>
    </row>
    <row r="6" spans="1:3" x14ac:dyDescent="0.3">
      <c r="A6" s="11"/>
      <c r="B6" s="11"/>
      <c r="C6" s="11"/>
    </row>
    <row r="7" spans="1:3" x14ac:dyDescent="0.3">
      <c r="A7" s="11"/>
      <c r="B7" s="11"/>
      <c r="C7" s="11"/>
    </row>
    <row r="8" spans="1:3" x14ac:dyDescent="0.3">
      <c r="A8" s="11"/>
      <c r="B8" s="11"/>
      <c r="C8" s="11"/>
    </row>
    <row r="9" spans="1:3" x14ac:dyDescent="0.3">
      <c r="A9" s="11"/>
      <c r="B9" s="11"/>
      <c r="C9" s="11"/>
    </row>
    <row r="10" spans="1:3" x14ac:dyDescent="0.3">
      <c r="A10" s="11"/>
      <c r="B10" s="11"/>
      <c r="C10" s="11"/>
    </row>
    <row r="11" spans="1:3" x14ac:dyDescent="0.3">
      <c r="A11" s="11"/>
      <c r="B11" s="11"/>
      <c r="C11" s="11"/>
    </row>
    <row r="12" spans="1:3" x14ac:dyDescent="0.3">
      <c r="A12" s="11"/>
      <c r="B12" s="11"/>
      <c r="C12" s="11"/>
    </row>
    <row r="13" spans="1:3" x14ac:dyDescent="0.3">
      <c r="A13" s="11"/>
      <c r="B13" s="11"/>
      <c r="C13" s="11"/>
    </row>
    <row r="14" spans="1:3" x14ac:dyDescent="0.3">
      <c r="A14" s="11"/>
      <c r="B14" s="11"/>
      <c r="C14" s="11"/>
    </row>
    <row r="15" spans="1:3" x14ac:dyDescent="0.3">
      <c r="A15" s="11"/>
      <c r="B15" s="11"/>
      <c r="C15" s="11"/>
    </row>
    <row r="16" spans="1:3" x14ac:dyDescent="0.3">
      <c r="A16" s="11"/>
      <c r="B16" s="11"/>
      <c r="C16" s="11"/>
    </row>
    <row r="17" spans="1:18" x14ac:dyDescent="0.3">
      <c r="A17" s="11"/>
      <c r="B17" s="11"/>
      <c r="C17" s="11"/>
    </row>
    <row r="18" spans="1:18" x14ac:dyDescent="0.3">
      <c r="A18" s="11"/>
      <c r="B18" s="11"/>
      <c r="C18" s="11"/>
    </row>
    <row r="19" spans="1:18" x14ac:dyDescent="0.3">
      <c r="A19" s="11"/>
      <c r="B19" s="11"/>
      <c r="C19" s="11"/>
    </row>
    <row r="20" spans="1:18" x14ac:dyDescent="0.3">
      <c r="A20" s="11"/>
      <c r="B20" s="11"/>
      <c r="C20" s="11"/>
    </row>
    <row r="21" spans="1:18" x14ac:dyDescent="0.3">
      <c r="A21" s="11"/>
      <c r="B21" s="11"/>
      <c r="C21" s="11"/>
    </row>
    <row r="22" spans="1:18" x14ac:dyDescent="0.3">
      <c r="A22" s="11"/>
      <c r="B22" s="11"/>
      <c r="C22" s="11"/>
    </row>
    <row r="23" spans="1:18" x14ac:dyDescent="0.3">
      <c r="A23" s="11"/>
      <c r="B23" s="11"/>
      <c r="C23" s="11"/>
    </row>
    <row r="24" spans="1:18" x14ac:dyDescent="0.3">
      <c r="A24" s="11"/>
      <c r="B24" s="11"/>
      <c r="C24" s="11"/>
    </row>
    <row r="25" spans="1:18" x14ac:dyDescent="0.3">
      <c r="A25" s="11"/>
      <c r="B25" s="11"/>
      <c r="C25" s="11"/>
    </row>
    <row r="26" spans="1:18" x14ac:dyDescent="0.3">
      <c r="A26" s="11"/>
      <c r="B26" s="11"/>
      <c r="C26" s="11"/>
    </row>
    <row r="27" spans="1:18" x14ac:dyDescent="0.3">
      <c r="A27" s="11"/>
      <c r="B27" s="11"/>
      <c r="C27" s="11"/>
    </row>
    <row r="28" spans="1:18" x14ac:dyDescent="0.3">
      <c r="A28" s="11"/>
      <c r="B28" s="11"/>
      <c r="C28" s="11"/>
      <c r="R28" s="14"/>
    </row>
    <row r="29" spans="1:18" ht="18" x14ac:dyDescent="0.35">
      <c r="A29" s="11"/>
      <c r="B29" s="11"/>
      <c r="C29" s="11"/>
      <c r="M29" s="12" t="str">
        <f>Analysis!G4</f>
        <v>Laptop</v>
      </c>
      <c r="O29" s="12"/>
      <c r="P29" s="13">
        <f>Analysis!H4</f>
        <v>66519499.379714437</v>
      </c>
      <c r="Q29" s="13"/>
      <c r="R29" s="15">
        <f>P29/SUM($P$29:$P$34)</f>
        <v>0.46753125089070596</v>
      </c>
    </row>
    <row r="30" spans="1:18" ht="18" x14ac:dyDescent="0.35">
      <c r="A30" s="11"/>
      <c r="B30" s="11"/>
      <c r="C30" s="11"/>
      <c r="M30" s="12" t="str">
        <f>Analysis!G5</f>
        <v>Smartphone</v>
      </c>
      <c r="O30" s="12"/>
      <c r="P30" s="13">
        <f>Analysis!H5</f>
        <v>36192914.505723469</v>
      </c>
      <c r="Q30" s="13"/>
      <c r="R30" s="15">
        <f t="shared" ref="R30:R34" si="0">P30/SUM($P$29:$P$34)</f>
        <v>0.25438132803208585</v>
      </c>
    </row>
    <row r="31" spans="1:18" ht="18" x14ac:dyDescent="0.35">
      <c r="A31" s="11"/>
      <c r="B31" s="11"/>
      <c r="C31" s="11"/>
      <c r="M31" s="12" t="str">
        <f>Analysis!G6</f>
        <v>Monitor</v>
      </c>
      <c r="O31" s="12"/>
      <c r="P31" s="13">
        <f>Analysis!H6</f>
        <v>18707651.305462528</v>
      </c>
      <c r="Q31" s="13"/>
      <c r="R31" s="15">
        <f t="shared" si="0"/>
        <v>0.13148643176255354</v>
      </c>
    </row>
    <row r="32" spans="1:18" ht="18" x14ac:dyDescent="0.35">
      <c r="A32" s="11"/>
      <c r="B32" s="11"/>
      <c r="C32" s="11"/>
      <c r="M32" s="12" t="str">
        <f>Analysis!G7</f>
        <v>Printer</v>
      </c>
      <c r="O32" s="12"/>
      <c r="P32" s="13">
        <f>Analysis!H7</f>
        <v>13745452.176967533</v>
      </c>
      <c r="Q32" s="13"/>
      <c r="R32" s="15">
        <f t="shared" si="0"/>
        <v>9.6609693552741779E-2</v>
      </c>
    </row>
    <row r="33" spans="1:18" ht="18" x14ac:dyDescent="0.35">
      <c r="A33" s="11"/>
      <c r="B33" s="11"/>
      <c r="C33" s="11"/>
      <c r="M33" s="12" t="str">
        <f>Analysis!G8</f>
        <v>Headphones</v>
      </c>
      <c r="O33" s="12"/>
      <c r="P33" s="13">
        <f>Analysis!H8</f>
        <v>4049370.6404464818</v>
      </c>
      <c r="Q33" s="13"/>
      <c r="R33" s="15">
        <f t="shared" si="0"/>
        <v>2.8460937597275256E-2</v>
      </c>
    </row>
    <row r="34" spans="1:18" ht="18" x14ac:dyDescent="0.35">
      <c r="A34" s="11"/>
      <c r="B34" s="11"/>
      <c r="C34" s="11"/>
      <c r="M34" s="12" t="str">
        <f>Analysis!G9</f>
        <v>Keyboard</v>
      </c>
      <c r="O34" s="12"/>
      <c r="P34" s="13">
        <f>Analysis!H9</f>
        <v>3063300.3544664248</v>
      </c>
      <c r="Q34" s="13"/>
      <c r="R34" s="15">
        <f t="shared" si="0"/>
        <v>2.1530358164637449E-2</v>
      </c>
    </row>
    <row r="35" spans="1:18" ht="18" x14ac:dyDescent="0.35">
      <c r="A35" s="11"/>
      <c r="B35" s="11"/>
      <c r="C35" s="11"/>
      <c r="M35" s="12"/>
      <c r="O35" s="12"/>
    </row>
    <row r="36" spans="1:18" ht="18" x14ac:dyDescent="0.35">
      <c r="A36" s="11"/>
      <c r="B36" s="11"/>
      <c r="C36" s="11"/>
      <c r="N36" s="12"/>
      <c r="O36" s="12"/>
    </row>
    <row r="37" spans="1:18" x14ac:dyDescent="0.3">
      <c r="A37" s="11"/>
      <c r="B37" s="11"/>
      <c r="C37" s="11"/>
    </row>
    <row r="38" spans="1:18" x14ac:dyDescent="0.3">
      <c r="A38" s="11"/>
      <c r="B38" s="11"/>
      <c r="C38" s="11"/>
    </row>
    <row r="39" spans="1:18" x14ac:dyDescent="0.3">
      <c r="A39" s="16"/>
      <c r="B39" s="16"/>
      <c r="C39" s="16"/>
    </row>
    <row r="40" spans="1:18" x14ac:dyDescent="0.3">
      <c r="A40" s="16"/>
      <c r="B40" s="16"/>
      <c r="C40" s="16"/>
    </row>
    <row r="41" spans="1:18" x14ac:dyDescent="0.3">
      <c r="A41" s="16"/>
      <c r="B41" s="16"/>
      <c r="C41" s="16"/>
    </row>
    <row r="42" spans="1:18" x14ac:dyDescent="0.3">
      <c r="A42" s="16"/>
      <c r="B42" s="16"/>
      <c r="C42" s="16"/>
    </row>
    <row r="43" spans="1:18" x14ac:dyDescent="0.3">
      <c r="A43" s="16"/>
      <c r="B43" s="16"/>
      <c r="C43" s="16"/>
    </row>
    <row r="44" spans="1:18" x14ac:dyDescent="0.3">
      <c r="A44" s="16"/>
      <c r="B44" s="16"/>
      <c r="C44" s="16"/>
    </row>
    <row r="45" spans="1:18" x14ac:dyDescent="0.3">
      <c r="A45" s="16"/>
      <c r="B45" s="16"/>
      <c r="C45" s="16"/>
    </row>
    <row r="46" spans="1:18" x14ac:dyDescent="0.3">
      <c r="A46" s="16"/>
      <c r="B46" s="16"/>
      <c r="C46" s="16"/>
    </row>
    <row r="47" spans="1:18" x14ac:dyDescent="0.3">
      <c r="A47" s="16"/>
      <c r="B47" s="16"/>
      <c r="C47" s="16"/>
    </row>
    <row r="48" spans="1:18" x14ac:dyDescent="0.3">
      <c r="A48" s="16"/>
      <c r="B48" s="16"/>
      <c r="C48" s="16"/>
    </row>
    <row r="49" spans="1:3" x14ac:dyDescent="0.3">
      <c r="A49" s="16"/>
      <c r="B49" s="16"/>
      <c r="C49" s="16"/>
    </row>
    <row r="50" spans="1:3" x14ac:dyDescent="0.3">
      <c r="A50" s="17"/>
      <c r="B50" s="17"/>
      <c r="C50"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DE6B1-7FBB-4AA0-88C1-05B864A9C9D9}">
  <dimension ref="A3:N17"/>
  <sheetViews>
    <sheetView workbookViewId="0">
      <selection activeCell="H5" sqref="H5"/>
    </sheetView>
  </sheetViews>
  <sheetFormatPr defaultRowHeight="14.4" x14ac:dyDescent="0.3"/>
  <cols>
    <col min="1" max="1" width="13.109375" bestFit="1" customWidth="1"/>
    <col min="3" max="3" width="10.44140625" bestFit="1" customWidth="1"/>
    <col min="5" max="5" width="18.5546875" bestFit="1" customWidth="1"/>
    <col min="7" max="7" width="13.5546875" bestFit="1" customWidth="1"/>
    <col min="8" max="8" width="11.6640625" bestFit="1" customWidth="1"/>
    <col min="10" max="10" width="10.77734375" bestFit="1" customWidth="1"/>
    <col min="11" max="11" width="14.88671875" bestFit="1" customWidth="1"/>
    <col min="13" max="13" width="10.77734375" bestFit="1" customWidth="1"/>
    <col min="14" max="14" width="17.33203125" bestFit="1" customWidth="1"/>
    <col min="15" max="15" width="12" customWidth="1"/>
  </cols>
  <sheetData>
    <row r="3" spans="1:14" x14ac:dyDescent="0.3">
      <c r="A3" t="s">
        <v>19</v>
      </c>
      <c r="C3" t="s">
        <v>38</v>
      </c>
      <c r="E3" t="s">
        <v>36</v>
      </c>
      <c r="G3" s="8" t="s">
        <v>21</v>
      </c>
      <c r="H3" t="s">
        <v>39</v>
      </c>
      <c r="J3" s="8" t="s">
        <v>35</v>
      </c>
      <c r="K3" t="s">
        <v>18</v>
      </c>
      <c r="M3" s="8" t="s">
        <v>2</v>
      </c>
      <c r="N3" t="s">
        <v>37</v>
      </c>
    </row>
    <row r="4" spans="1:14" x14ac:dyDescent="0.3">
      <c r="A4" s="7">
        <v>142278188.36278084</v>
      </c>
      <c r="C4">
        <v>7729</v>
      </c>
      <c r="E4" s="7">
        <v>1976085.9494830673</v>
      </c>
      <c r="G4" s="9" t="s">
        <v>7</v>
      </c>
      <c r="H4" s="7">
        <v>66519499.379714437</v>
      </c>
      <c r="J4" s="9" t="s">
        <v>34</v>
      </c>
      <c r="K4" s="7">
        <v>142278188.36278087</v>
      </c>
      <c r="M4" s="9" t="s">
        <v>11</v>
      </c>
      <c r="N4" s="7">
        <v>29046048.083560813</v>
      </c>
    </row>
    <row r="5" spans="1:14" x14ac:dyDescent="0.3">
      <c r="G5" s="9" t="s">
        <v>9</v>
      </c>
      <c r="H5" s="7">
        <v>36192914.505723469</v>
      </c>
      <c r="J5" s="10" t="s">
        <v>22</v>
      </c>
      <c r="K5" s="7">
        <v>8669383.5631758124</v>
      </c>
      <c r="M5" s="9" t="s">
        <v>8</v>
      </c>
      <c r="N5" s="7">
        <v>41659451.815063879</v>
      </c>
    </row>
    <row r="6" spans="1:14" x14ac:dyDescent="0.3">
      <c r="G6" s="9" t="s">
        <v>15</v>
      </c>
      <c r="H6" s="7">
        <v>18707651.305462528</v>
      </c>
      <c r="J6" s="10" t="s">
        <v>23</v>
      </c>
      <c r="K6" s="7">
        <v>8616574.4645041302</v>
      </c>
      <c r="M6" s="9" t="s">
        <v>10</v>
      </c>
      <c r="N6" s="7">
        <v>33766729.98304195</v>
      </c>
    </row>
    <row r="7" spans="1:14" x14ac:dyDescent="0.3">
      <c r="G7" s="9" t="s">
        <v>17</v>
      </c>
      <c r="H7" s="7">
        <v>13745452.176967533</v>
      </c>
      <c r="J7" s="10" t="s">
        <v>24</v>
      </c>
      <c r="K7" s="7">
        <v>15177719.683861839</v>
      </c>
      <c r="M7" s="9" t="s">
        <v>13</v>
      </c>
      <c r="N7" s="7">
        <v>37805958.481114231</v>
      </c>
    </row>
    <row r="8" spans="1:14" x14ac:dyDescent="0.3">
      <c r="G8" s="9" t="s">
        <v>12</v>
      </c>
      <c r="H8" s="7">
        <v>4049370.6404464818</v>
      </c>
      <c r="J8" s="10" t="s">
        <v>25</v>
      </c>
      <c r="K8" s="7">
        <v>12547128.142294422</v>
      </c>
      <c r="M8" s="9" t="s">
        <v>20</v>
      </c>
      <c r="N8" s="7">
        <v>142278188.36278087</v>
      </c>
    </row>
    <row r="9" spans="1:14" x14ac:dyDescent="0.3">
      <c r="G9" s="9" t="s">
        <v>16</v>
      </c>
      <c r="H9" s="7">
        <v>3063300.3544664248</v>
      </c>
      <c r="J9" s="10" t="s">
        <v>26</v>
      </c>
      <c r="K9" s="7">
        <v>12871781.381815176</v>
      </c>
    </row>
    <row r="10" spans="1:14" x14ac:dyDescent="0.3">
      <c r="G10" s="9" t="s">
        <v>20</v>
      </c>
      <c r="H10" s="7">
        <v>142278188.36278087</v>
      </c>
      <c r="J10" s="10" t="s">
        <v>27</v>
      </c>
      <c r="K10" s="7">
        <v>11017564.538991611</v>
      </c>
    </row>
    <row r="11" spans="1:14" x14ac:dyDescent="0.3">
      <c r="J11" s="10" t="s">
        <v>28</v>
      </c>
      <c r="K11" s="7">
        <v>9976747.1017730385</v>
      </c>
    </row>
    <row r="12" spans="1:14" x14ac:dyDescent="0.3">
      <c r="J12" s="10" t="s">
        <v>29</v>
      </c>
      <c r="K12" s="7">
        <v>15305529.591221256</v>
      </c>
    </row>
    <row r="13" spans="1:14" x14ac:dyDescent="0.3">
      <c r="J13" s="10" t="s">
        <v>30</v>
      </c>
      <c r="K13" s="7">
        <v>9944599.9131466914</v>
      </c>
    </row>
    <row r="14" spans="1:14" x14ac:dyDescent="0.3">
      <c r="J14" s="10" t="s">
        <v>31</v>
      </c>
      <c r="K14" s="7">
        <v>7626723.4493099339</v>
      </c>
    </row>
    <row r="15" spans="1:14" x14ac:dyDescent="0.3">
      <c r="J15" s="10" t="s">
        <v>32</v>
      </c>
      <c r="K15" s="7">
        <v>12762468.850377589</v>
      </c>
    </row>
    <row r="16" spans="1:14" x14ac:dyDescent="0.3">
      <c r="J16" s="10" t="s">
        <v>33</v>
      </c>
      <c r="K16" s="7">
        <v>17761967.682309378</v>
      </c>
    </row>
    <row r="17" spans="10:11" x14ac:dyDescent="0.3">
      <c r="J17" s="9" t="s">
        <v>20</v>
      </c>
      <c r="K17" s="7">
        <v>142278188.36278087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B299F-975C-44DF-8B0B-416F55D59584}">
  <dimension ref="A1:H73"/>
  <sheetViews>
    <sheetView topLeftCell="A2" workbookViewId="0">
      <selection activeCell="O9" sqref="O9"/>
    </sheetView>
  </sheetViews>
  <sheetFormatPr defaultRowHeight="14.4" x14ac:dyDescent="0.3"/>
  <cols>
    <col min="2" max="2" width="13.21875" customWidth="1"/>
    <col min="3" max="3" width="11.6640625" customWidth="1"/>
    <col min="4" max="4" width="14" customWidth="1"/>
    <col min="5" max="5" width="18.88671875" customWidth="1"/>
    <col min="6" max="6" width="13.21875" customWidth="1"/>
    <col min="7" max="7" width="13.88671875" customWidth="1"/>
    <col min="8" max="8" width="15.44140625" customWidth="1"/>
  </cols>
  <sheetData>
    <row r="1" spans="1:8" x14ac:dyDescent="0.3">
      <c r="A1" s="1" t="s">
        <v>0</v>
      </c>
      <c r="B1" s="1" t="s">
        <v>1</v>
      </c>
      <c r="C1" s="1" t="s">
        <v>2</v>
      </c>
      <c r="D1" s="1" t="s">
        <v>3</v>
      </c>
      <c r="E1" s="1" t="s">
        <v>4</v>
      </c>
      <c r="F1" s="1" t="s">
        <v>5</v>
      </c>
      <c r="G1" s="1" t="s">
        <v>6</v>
      </c>
      <c r="H1" s="1" t="s">
        <v>14</v>
      </c>
    </row>
    <row r="2" spans="1:8" x14ac:dyDescent="0.3">
      <c r="A2" s="2">
        <v>45658</v>
      </c>
      <c r="B2" s="3" t="s">
        <v>7</v>
      </c>
      <c r="C2" s="3" t="s">
        <v>13</v>
      </c>
      <c r="D2" s="3">
        <v>60</v>
      </c>
      <c r="E2" s="4">
        <v>65000</v>
      </c>
      <c r="F2" s="5">
        <v>6.8276667092808385E-2</v>
      </c>
      <c r="G2" s="6">
        <f>D2*E2*(1-F2)</f>
        <v>3633720.9983380474</v>
      </c>
      <c r="H2" s="3" t="str">
        <f>IF(AND(D2&gt;=1,E2&gt;=0),"OK","CHECK")</f>
        <v>OK</v>
      </c>
    </row>
    <row r="3" spans="1:8" x14ac:dyDescent="0.3">
      <c r="A3" s="2">
        <v>45658</v>
      </c>
      <c r="B3" s="3" t="s">
        <v>9</v>
      </c>
      <c r="C3" s="3" t="s">
        <v>11</v>
      </c>
      <c r="D3" s="3">
        <v>138</v>
      </c>
      <c r="E3" s="4">
        <v>28000</v>
      </c>
      <c r="F3" s="5">
        <v>0.14735874143959229</v>
      </c>
      <c r="G3" s="6">
        <f t="shared" ref="G3:G66" si="0">D3*E3*(1-F3)</f>
        <v>3294605.8230774156</v>
      </c>
      <c r="H3" s="3" t="str">
        <f t="shared" ref="H3:H66" si="1">IF(AND(D3&gt;=1,E3&gt;=0),"OK","CHECK")</f>
        <v>OK</v>
      </c>
    </row>
    <row r="4" spans="1:8" x14ac:dyDescent="0.3">
      <c r="A4" s="2">
        <v>45658</v>
      </c>
      <c r="B4" s="3" t="s">
        <v>15</v>
      </c>
      <c r="C4" s="3" t="s">
        <v>11</v>
      </c>
      <c r="D4" s="3">
        <v>58</v>
      </c>
      <c r="E4" s="4">
        <v>16000</v>
      </c>
      <c r="F4" s="5">
        <v>9.0134455639192534E-2</v>
      </c>
      <c r="G4" s="6">
        <f t="shared" si="0"/>
        <v>844355.2251668293</v>
      </c>
      <c r="H4" s="3" t="str">
        <f t="shared" si="1"/>
        <v>OK</v>
      </c>
    </row>
    <row r="5" spans="1:8" x14ac:dyDescent="0.3">
      <c r="A5" s="2">
        <v>45658</v>
      </c>
      <c r="B5" s="3" t="s">
        <v>16</v>
      </c>
      <c r="C5" s="3" t="s">
        <v>13</v>
      </c>
      <c r="D5" s="3">
        <v>77</v>
      </c>
      <c r="E5" s="4">
        <v>2500</v>
      </c>
      <c r="F5" s="5">
        <v>6.2212677612224543E-2</v>
      </c>
      <c r="G5" s="6">
        <f t="shared" si="0"/>
        <v>180524.05955964679</v>
      </c>
      <c r="H5" s="3" t="str">
        <f t="shared" si="1"/>
        <v>OK</v>
      </c>
    </row>
    <row r="6" spans="1:8" x14ac:dyDescent="0.3">
      <c r="A6" s="2">
        <v>45658</v>
      </c>
      <c r="B6" s="3" t="s">
        <v>12</v>
      </c>
      <c r="C6" s="3" t="s">
        <v>13</v>
      </c>
      <c r="D6" s="3">
        <v>103</v>
      </c>
      <c r="E6" s="4">
        <v>3500</v>
      </c>
      <c r="F6" s="5">
        <v>0.134256174984937</v>
      </c>
      <c r="G6" s="6">
        <f t="shared" si="0"/>
        <v>312100.6489179302</v>
      </c>
      <c r="H6" s="3" t="str">
        <f t="shared" si="1"/>
        <v>OK</v>
      </c>
    </row>
    <row r="7" spans="1:8" x14ac:dyDescent="0.3">
      <c r="A7" s="2">
        <v>45658</v>
      </c>
      <c r="B7" s="3" t="s">
        <v>17</v>
      </c>
      <c r="C7" s="3" t="s">
        <v>11</v>
      </c>
      <c r="D7" s="3">
        <v>35</v>
      </c>
      <c r="E7" s="4">
        <v>12000</v>
      </c>
      <c r="F7" s="5">
        <v>3.7912361628708612E-2</v>
      </c>
      <c r="G7" s="6">
        <f t="shared" si="0"/>
        <v>404076.8081159424</v>
      </c>
      <c r="H7" s="3" t="str">
        <f t="shared" si="1"/>
        <v>OK</v>
      </c>
    </row>
    <row r="8" spans="1:8" x14ac:dyDescent="0.3">
      <c r="A8" s="2">
        <v>45689</v>
      </c>
      <c r="B8" s="3" t="s">
        <v>7</v>
      </c>
      <c r="C8" s="3" t="s">
        <v>8</v>
      </c>
      <c r="D8" s="3">
        <v>41</v>
      </c>
      <c r="E8" s="4">
        <v>65000</v>
      </c>
      <c r="F8" s="5">
        <v>0.1391512233263536</v>
      </c>
      <c r="G8" s="6">
        <f t="shared" si="0"/>
        <v>2294161.9898352674</v>
      </c>
      <c r="H8" s="3" t="str">
        <f t="shared" si="1"/>
        <v>OK</v>
      </c>
    </row>
    <row r="9" spans="1:8" x14ac:dyDescent="0.3">
      <c r="A9" s="2">
        <v>45689</v>
      </c>
      <c r="B9" s="3" t="s">
        <v>9</v>
      </c>
      <c r="C9" s="3" t="s">
        <v>13</v>
      </c>
      <c r="D9" s="3">
        <v>104</v>
      </c>
      <c r="E9" s="4">
        <v>28000</v>
      </c>
      <c r="F9" s="5">
        <v>0.14154338294077459</v>
      </c>
      <c r="G9" s="6">
        <f t="shared" si="0"/>
        <v>2499825.6688764645</v>
      </c>
      <c r="H9" s="3" t="str">
        <f t="shared" si="1"/>
        <v>OK</v>
      </c>
    </row>
    <row r="10" spans="1:8" x14ac:dyDescent="0.3">
      <c r="A10" s="2">
        <v>45689</v>
      </c>
      <c r="B10" s="3" t="s">
        <v>15</v>
      </c>
      <c r="C10" s="3" t="s">
        <v>8</v>
      </c>
      <c r="D10" s="3">
        <v>147</v>
      </c>
      <c r="E10" s="4">
        <v>16000</v>
      </c>
      <c r="F10" s="5">
        <v>0.10206587009569471</v>
      </c>
      <c r="G10" s="6">
        <f t="shared" si="0"/>
        <v>2111941.0735349259</v>
      </c>
      <c r="H10" s="3" t="str">
        <f t="shared" si="1"/>
        <v>OK</v>
      </c>
    </row>
    <row r="11" spans="1:8" x14ac:dyDescent="0.3">
      <c r="A11" s="2">
        <v>45689</v>
      </c>
      <c r="B11" s="3" t="s">
        <v>16</v>
      </c>
      <c r="C11" s="3" t="s">
        <v>11</v>
      </c>
      <c r="D11" s="3">
        <v>69</v>
      </c>
      <c r="E11" s="4">
        <v>2500</v>
      </c>
      <c r="F11" s="5">
        <v>5.7636345482515769E-2</v>
      </c>
      <c r="G11" s="6">
        <f t="shared" si="0"/>
        <v>162557.73040426604</v>
      </c>
      <c r="H11" s="3" t="str">
        <f t="shared" si="1"/>
        <v>OK</v>
      </c>
    </row>
    <row r="12" spans="1:8" x14ac:dyDescent="0.3">
      <c r="A12" s="2">
        <v>45689</v>
      </c>
      <c r="B12" s="3" t="s">
        <v>12</v>
      </c>
      <c r="C12" s="3" t="s">
        <v>10</v>
      </c>
      <c r="D12" s="3">
        <v>73</v>
      </c>
      <c r="E12" s="4">
        <v>3500</v>
      </c>
      <c r="F12" s="5">
        <v>0.13909540498640779</v>
      </c>
      <c r="G12" s="6">
        <f t="shared" si="0"/>
        <v>219961.12402597279</v>
      </c>
      <c r="H12" s="3" t="str">
        <f t="shared" si="1"/>
        <v>OK</v>
      </c>
    </row>
    <row r="13" spans="1:8" x14ac:dyDescent="0.3">
      <c r="A13" s="2">
        <v>45689</v>
      </c>
      <c r="B13" s="3" t="s">
        <v>17</v>
      </c>
      <c r="C13" s="3" t="s">
        <v>8</v>
      </c>
      <c r="D13" s="3">
        <v>122</v>
      </c>
      <c r="E13" s="4">
        <v>12000</v>
      </c>
      <c r="F13" s="5">
        <v>9.2809509680851901E-2</v>
      </c>
      <c r="G13" s="6">
        <f t="shared" si="0"/>
        <v>1328126.8778272329</v>
      </c>
      <c r="H13" s="3" t="str">
        <f t="shared" si="1"/>
        <v>OK</v>
      </c>
    </row>
    <row r="14" spans="1:8" x14ac:dyDescent="0.3">
      <c r="A14" s="2">
        <v>45717</v>
      </c>
      <c r="B14" s="3" t="s">
        <v>7</v>
      </c>
      <c r="C14" s="3" t="s">
        <v>8</v>
      </c>
      <c r="D14" s="3">
        <v>118</v>
      </c>
      <c r="E14" s="4">
        <v>65000</v>
      </c>
      <c r="F14" s="5">
        <v>0.11028158890606959</v>
      </c>
      <c r="G14" s="6">
        <f t="shared" si="0"/>
        <v>6824140.2130904468</v>
      </c>
      <c r="H14" s="3" t="str">
        <f t="shared" si="1"/>
        <v>OK</v>
      </c>
    </row>
    <row r="15" spans="1:8" x14ac:dyDescent="0.3">
      <c r="A15" s="2">
        <v>45717</v>
      </c>
      <c r="B15" s="3" t="s">
        <v>9</v>
      </c>
      <c r="C15" s="3" t="s">
        <v>10</v>
      </c>
      <c r="D15" s="3">
        <v>179</v>
      </c>
      <c r="E15" s="4">
        <v>28000</v>
      </c>
      <c r="F15" s="5">
        <v>5.4581890835735412E-2</v>
      </c>
      <c r="G15" s="6">
        <f t="shared" si="0"/>
        <v>4738435.5631312942</v>
      </c>
      <c r="H15" s="3" t="str">
        <f t="shared" si="1"/>
        <v>OK</v>
      </c>
    </row>
    <row r="16" spans="1:8" x14ac:dyDescent="0.3">
      <c r="A16" s="2">
        <v>45717</v>
      </c>
      <c r="B16" s="3" t="s">
        <v>15</v>
      </c>
      <c r="C16" s="3" t="s">
        <v>13</v>
      </c>
      <c r="D16" s="3">
        <v>127</v>
      </c>
      <c r="E16" s="4">
        <v>16000</v>
      </c>
      <c r="F16" s="5">
        <v>0.14414980126386981</v>
      </c>
      <c r="G16" s="6">
        <f t="shared" si="0"/>
        <v>1739087.6038318167</v>
      </c>
      <c r="H16" s="3" t="str">
        <f t="shared" si="1"/>
        <v>OK</v>
      </c>
    </row>
    <row r="17" spans="1:8" x14ac:dyDescent="0.3">
      <c r="A17" s="2">
        <v>45717</v>
      </c>
      <c r="B17" s="3" t="s">
        <v>16</v>
      </c>
      <c r="C17" s="3" t="s">
        <v>8</v>
      </c>
      <c r="D17" s="3">
        <v>45</v>
      </c>
      <c r="E17" s="4">
        <v>2500</v>
      </c>
      <c r="F17" s="5">
        <v>6.3181764934585674E-2</v>
      </c>
      <c r="G17" s="6">
        <f t="shared" si="0"/>
        <v>105392.05144485911</v>
      </c>
      <c r="H17" s="3" t="str">
        <f t="shared" si="1"/>
        <v>OK</v>
      </c>
    </row>
    <row r="18" spans="1:8" x14ac:dyDescent="0.3">
      <c r="A18" s="2">
        <v>45717</v>
      </c>
      <c r="B18" s="3" t="s">
        <v>12</v>
      </c>
      <c r="C18" s="3" t="s">
        <v>8</v>
      </c>
      <c r="D18" s="3">
        <v>96</v>
      </c>
      <c r="E18" s="4">
        <v>3500</v>
      </c>
      <c r="F18" s="5">
        <v>0.14494964746891981</v>
      </c>
      <c r="G18" s="6">
        <f t="shared" si="0"/>
        <v>287296.91845044296</v>
      </c>
      <c r="H18" s="3" t="str">
        <f t="shared" si="1"/>
        <v>OK</v>
      </c>
    </row>
    <row r="19" spans="1:8" x14ac:dyDescent="0.3">
      <c r="A19" s="2">
        <v>45717</v>
      </c>
      <c r="B19" s="3" t="s">
        <v>17</v>
      </c>
      <c r="C19" s="3" t="s">
        <v>13</v>
      </c>
      <c r="D19" s="3">
        <v>135</v>
      </c>
      <c r="E19" s="4">
        <v>12000</v>
      </c>
      <c r="F19" s="5">
        <v>8.434115190556804E-2</v>
      </c>
      <c r="G19" s="6">
        <f t="shared" si="0"/>
        <v>1483367.3339129798</v>
      </c>
      <c r="H19" s="3" t="str">
        <f t="shared" si="1"/>
        <v>OK</v>
      </c>
    </row>
    <row r="20" spans="1:8" x14ac:dyDescent="0.3">
      <c r="A20" s="2">
        <v>45748</v>
      </c>
      <c r="B20" s="3" t="s">
        <v>7</v>
      </c>
      <c r="C20" s="3" t="s">
        <v>13</v>
      </c>
      <c r="D20" s="3">
        <v>158</v>
      </c>
      <c r="E20" s="4">
        <v>65000</v>
      </c>
      <c r="F20" s="5">
        <v>0.108887935533571</v>
      </c>
      <c r="G20" s="6">
        <f t="shared" si="0"/>
        <v>9151720.9020702261</v>
      </c>
      <c r="H20" s="3" t="str">
        <f t="shared" si="1"/>
        <v>OK</v>
      </c>
    </row>
    <row r="21" spans="1:8" x14ac:dyDescent="0.3">
      <c r="A21" s="2">
        <v>45748</v>
      </c>
      <c r="B21" s="3" t="s">
        <v>9</v>
      </c>
      <c r="C21" s="3" t="s">
        <v>13</v>
      </c>
      <c r="D21" s="3">
        <v>39</v>
      </c>
      <c r="E21" s="4">
        <v>28000</v>
      </c>
      <c r="F21" s="5">
        <v>8.200105969845424E-2</v>
      </c>
      <c r="G21" s="6">
        <f t="shared" si="0"/>
        <v>1002454.8428092879</v>
      </c>
      <c r="H21" s="3" t="str">
        <f t="shared" si="1"/>
        <v>OK</v>
      </c>
    </row>
    <row r="22" spans="1:8" x14ac:dyDescent="0.3">
      <c r="A22" s="2">
        <v>45748</v>
      </c>
      <c r="B22" s="3" t="s">
        <v>15</v>
      </c>
      <c r="C22" s="3" t="s">
        <v>10</v>
      </c>
      <c r="D22" s="3">
        <v>65</v>
      </c>
      <c r="E22" s="4">
        <v>16000</v>
      </c>
      <c r="F22" s="5">
        <v>0.1483467774746626</v>
      </c>
      <c r="G22" s="6">
        <f t="shared" si="0"/>
        <v>885719.35142635088</v>
      </c>
      <c r="H22" s="3" t="str">
        <f t="shared" si="1"/>
        <v>OK</v>
      </c>
    </row>
    <row r="23" spans="1:8" x14ac:dyDescent="0.3">
      <c r="A23" s="2">
        <v>45748</v>
      </c>
      <c r="B23" s="3" t="s">
        <v>16</v>
      </c>
      <c r="C23" s="3" t="s">
        <v>13</v>
      </c>
      <c r="D23" s="3">
        <v>162</v>
      </c>
      <c r="E23" s="4">
        <v>2500</v>
      </c>
      <c r="F23" s="5">
        <v>6.6040689130759861E-2</v>
      </c>
      <c r="G23" s="6">
        <f t="shared" si="0"/>
        <v>378253.52090204222</v>
      </c>
      <c r="H23" s="3" t="str">
        <f t="shared" si="1"/>
        <v>OK</v>
      </c>
    </row>
    <row r="24" spans="1:8" x14ac:dyDescent="0.3">
      <c r="A24" s="2">
        <v>45748</v>
      </c>
      <c r="B24" s="3" t="s">
        <v>12</v>
      </c>
      <c r="C24" s="3" t="s">
        <v>13</v>
      </c>
      <c r="D24" s="3">
        <v>56</v>
      </c>
      <c r="E24" s="4">
        <v>3500</v>
      </c>
      <c r="F24" s="5">
        <v>0.1088366778399702</v>
      </c>
      <c r="G24" s="6">
        <f t="shared" si="0"/>
        <v>174668.01114336585</v>
      </c>
      <c r="H24" s="3" t="str">
        <f t="shared" si="1"/>
        <v>OK</v>
      </c>
    </row>
    <row r="25" spans="1:8" x14ac:dyDescent="0.3">
      <c r="A25" s="2">
        <v>45748</v>
      </c>
      <c r="B25" s="3" t="s">
        <v>17</v>
      </c>
      <c r="C25" s="3" t="s">
        <v>10</v>
      </c>
      <c r="D25" s="3">
        <v>82</v>
      </c>
      <c r="E25" s="4">
        <v>12000</v>
      </c>
      <c r="F25" s="5">
        <v>3.0171225667530981E-2</v>
      </c>
      <c r="G25" s="6">
        <f t="shared" si="0"/>
        <v>954311.51394314959</v>
      </c>
      <c r="H25" s="3" t="str">
        <f t="shared" si="1"/>
        <v>OK</v>
      </c>
    </row>
    <row r="26" spans="1:8" x14ac:dyDescent="0.3">
      <c r="A26" s="2">
        <v>45778</v>
      </c>
      <c r="B26" s="3" t="s">
        <v>7</v>
      </c>
      <c r="C26" s="3" t="s">
        <v>8</v>
      </c>
      <c r="D26" s="3">
        <v>142</v>
      </c>
      <c r="E26" s="4">
        <v>65000</v>
      </c>
      <c r="F26" s="5">
        <v>0.1151273272470255</v>
      </c>
      <c r="G26" s="6">
        <f t="shared" si="0"/>
        <v>8167374.7695099553</v>
      </c>
      <c r="H26" s="3" t="str">
        <f t="shared" si="1"/>
        <v>OK</v>
      </c>
    </row>
    <row r="27" spans="1:8" x14ac:dyDescent="0.3">
      <c r="A27" s="2">
        <v>45778</v>
      </c>
      <c r="B27" s="3" t="s">
        <v>9</v>
      </c>
      <c r="C27" s="3" t="s">
        <v>8</v>
      </c>
      <c r="D27" s="3">
        <v>102</v>
      </c>
      <c r="E27" s="4">
        <v>28000</v>
      </c>
      <c r="F27" s="5">
        <v>0.1135392556220363</v>
      </c>
      <c r="G27" s="6">
        <f t="shared" si="0"/>
        <v>2531731.8859434645</v>
      </c>
      <c r="H27" s="3" t="str">
        <f t="shared" si="1"/>
        <v>OK</v>
      </c>
    </row>
    <row r="28" spans="1:8" x14ac:dyDescent="0.3">
      <c r="A28" s="2">
        <v>45778</v>
      </c>
      <c r="B28" s="3" t="s">
        <v>15</v>
      </c>
      <c r="C28" s="3" t="s">
        <v>13</v>
      </c>
      <c r="D28" s="3">
        <v>55</v>
      </c>
      <c r="E28" s="4">
        <v>16000</v>
      </c>
      <c r="F28" s="5">
        <v>0.11194966252505011</v>
      </c>
      <c r="G28" s="6">
        <f t="shared" si="0"/>
        <v>781484.29697795585</v>
      </c>
      <c r="H28" s="3" t="str">
        <f t="shared" si="1"/>
        <v>OK</v>
      </c>
    </row>
    <row r="29" spans="1:8" x14ac:dyDescent="0.3">
      <c r="A29" s="2">
        <v>45778</v>
      </c>
      <c r="B29" s="3" t="s">
        <v>16</v>
      </c>
      <c r="C29" s="3" t="s">
        <v>8</v>
      </c>
      <c r="D29" s="3">
        <v>94</v>
      </c>
      <c r="E29" s="4">
        <v>2500</v>
      </c>
      <c r="F29" s="5">
        <v>6.7062322183655654E-2</v>
      </c>
      <c r="G29" s="6">
        <f t="shared" si="0"/>
        <v>219240.35428684091</v>
      </c>
      <c r="H29" s="3" t="str">
        <f t="shared" si="1"/>
        <v>OK</v>
      </c>
    </row>
    <row r="30" spans="1:8" x14ac:dyDescent="0.3">
      <c r="A30" s="2">
        <v>45778</v>
      </c>
      <c r="B30" s="3" t="s">
        <v>12</v>
      </c>
      <c r="C30" s="3" t="s">
        <v>11</v>
      </c>
      <c r="D30" s="3">
        <v>78</v>
      </c>
      <c r="E30" s="4">
        <v>3500</v>
      </c>
      <c r="F30" s="5">
        <v>5.8214448870895719E-2</v>
      </c>
      <c r="G30" s="6">
        <f t="shared" si="0"/>
        <v>257107.45545824544</v>
      </c>
      <c r="H30" s="3" t="str">
        <f t="shared" si="1"/>
        <v>OK</v>
      </c>
    </row>
    <row r="31" spans="1:8" x14ac:dyDescent="0.3">
      <c r="A31" s="2">
        <v>45778</v>
      </c>
      <c r="B31" s="3" t="s">
        <v>17</v>
      </c>
      <c r="C31" s="3" t="s">
        <v>13</v>
      </c>
      <c r="D31" s="3">
        <v>89</v>
      </c>
      <c r="E31" s="4">
        <v>12000</v>
      </c>
      <c r="F31" s="5">
        <v>0.1434057868551353</v>
      </c>
      <c r="G31" s="6">
        <f t="shared" si="0"/>
        <v>914842.61963871552</v>
      </c>
      <c r="H31" s="3" t="str">
        <f t="shared" si="1"/>
        <v>OK</v>
      </c>
    </row>
    <row r="32" spans="1:8" x14ac:dyDescent="0.3">
      <c r="A32" s="2">
        <v>45809</v>
      </c>
      <c r="B32" s="3" t="s">
        <v>7</v>
      </c>
      <c r="C32" s="3" t="s">
        <v>8</v>
      </c>
      <c r="D32" s="3">
        <v>74</v>
      </c>
      <c r="E32" s="4">
        <v>65000</v>
      </c>
      <c r="F32" s="5">
        <v>0.13097720578780769</v>
      </c>
      <c r="G32" s="6">
        <f t="shared" si="0"/>
        <v>4179999.6401606449</v>
      </c>
      <c r="H32" s="3" t="str">
        <f t="shared" si="1"/>
        <v>OK</v>
      </c>
    </row>
    <row r="33" spans="1:8" x14ac:dyDescent="0.3">
      <c r="A33" s="2">
        <v>45809</v>
      </c>
      <c r="B33" s="3" t="s">
        <v>9</v>
      </c>
      <c r="C33" s="3" t="s">
        <v>11</v>
      </c>
      <c r="D33" s="3">
        <v>114</v>
      </c>
      <c r="E33" s="4">
        <v>28000</v>
      </c>
      <c r="F33" s="5">
        <v>3.4757531103190527E-2</v>
      </c>
      <c r="G33" s="6">
        <f t="shared" si="0"/>
        <v>3081053.9607186159</v>
      </c>
      <c r="H33" s="3" t="str">
        <f t="shared" si="1"/>
        <v>OK</v>
      </c>
    </row>
    <row r="34" spans="1:8" x14ac:dyDescent="0.3">
      <c r="A34" s="2">
        <v>45809</v>
      </c>
      <c r="B34" s="3" t="s">
        <v>15</v>
      </c>
      <c r="C34" s="3" t="s">
        <v>8</v>
      </c>
      <c r="D34" s="3">
        <v>152</v>
      </c>
      <c r="E34" s="4">
        <v>16000</v>
      </c>
      <c r="F34" s="5">
        <v>8.8299027445067596E-2</v>
      </c>
      <c r="G34" s="6">
        <f t="shared" si="0"/>
        <v>2217256.7652535955</v>
      </c>
      <c r="H34" s="3" t="str">
        <f t="shared" si="1"/>
        <v>OK</v>
      </c>
    </row>
    <row r="35" spans="1:8" x14ac:dyDescent="0.3">
      <c r="A35" s="2">
        <v>45809</v>
      </c>
      <c r="B35" s="3" t="s">
        <v>16</v>
      </c>
      <c r="C35" s="3" t="s">
        <v>13</v>
      </c>
      <c r="D35" s="3">
        <v>170</v>
      </c>
      <c r="E35" s="4">
        <v>2500</v>
      </c>
      <c r="F35" s="5">
        <v>9.0230818680905836E-2</v>
      </c>
      <c r="G35" s="6">
        <f t="shared" si="0"/>
        <v>386651.90206061502</v>
      </c>
      <c r="H35" s="3" t="str">
        <f t="shared" si="1"/>
        <v>OK</v>
      </c>
    </row>
    <row r="36" spans="1:8" x14ac:dyDescent="0.3">
      <c r="A36" s="2">
        <v>45809</v>
      </c>
      <c r="B36" s="3" t="s">
        <v>12</v>
      </c>
      <c r="C36" s="3" t="s">
        <v>10</v>
      </c>
      <c r="D36" s="3">
        <v>135</v>
      </c>
      <c r="E36" s="4">
        <v>3500</v>
      </c>
      <c r="F36" s="5">
        <v>4.9860168055894487E-2</v>
      </c>
      <c r="G36" s="6">
        <f t="shared" si="0"/>
        <v>448941.07059358986</v>
      </c>
      <c r="H36" s="3" t="str">
        <f t="shared" si="1"/>
        <v>OK</v>
      </c>
    </row>
    <row r="37" spans="1:8" x14ac:dyDescent="0.3">
      <c r="A37" s="2">
        <v>45809</v>
      </c>
      <c r="B37" s="3" t="s">
        <v>17</v>
      </c>
      <c r="C37" s="3" t="s">
        <v>8</v>
      </c>
      <c r="D37" s="3">
        <v>64</v>
      </c>
      <c r="E37" s="4">
        <v>12000</v>
      </c>
      <c r="F37" s="5">
        <v>8.3774478900326799E-2</v>
      </c>
      <c r="G37" s="6">
        <f t="shared" si="0"/>
        <v>703661.20020454901</v>
      </c>
      <c r="H37" s="3" t="str">
        <f t="shared" si="1"/>
        <v>OK</v>
      </c>
    </row>
    <row r="38" spans="1:8" x14ac:dyDescent="0.3">
      <c r="A38" s="2">
        <v>45839</v>
      </c>
      <c r="B38" s="3" t="s">
        <v>7</v>
      </c>
      <c r="C38" s="3" t="s">
        <v>11</v>
      </c>
      <c r="D38" s="3">
        <v>47</v>
      </c>
      <c r="E38" s="4">
        <v>65000</v>
      </c>
      <c r="F38" s="5">
        <v>4.3200663740006341E-2</v>
      </c>
      <c r="G38" s="6">
        <f t="shared" si="0"/>
        <v>2923021.9722742806</v>
      </c>
      <c r="H38" s="3" t="str">
        <f t="shared" si="1"/>
        <v>OK</v>
      </c>
    </row>
    <row r="39" spans="1:8" x14ac:dyDescent="0.3">
      <c r="A39" s="2">
        <v>45839</v>
      </c>
      <c r="B39" s="3" t="s">
        <v>9</v>
      </c>
      <c r="C39" s="3" t="s">
        <v>10</v>
      </c>
      <c r="D39" s="3">
        <v>141</v>
      </c>
      <c r="E39" s="4">
        <v>28000</v>
      </c>
      <c r="F39" s="5">
        <v>0.1364746742223282</v>
      </c>
      <c r="G39" s="6">
        <f t="shared" si="0"/>
        <v>3409197.9861702486</v>
      </c>
      <c r="H39" s="3" t="str">
        <f t="shared" si="1"/>
        <v>OK</v>
      </c>
    </row>
    <row r="40" spans="1:8" x14ac:dyDescent="0.3">
      <c r="A40" s="2">
        <v>45839</v>
      </c>
      <c r="B40" s="3" t="s">
        <v>15</v>
      </c>
      <c r="C40" s="3" t="s">
        <v>10</v>
      </c>
      <c r="D40" s="3">
        <v>128</v>
      </c>
      <c r="E40" s="4">
        <v>16000</v>
      </c>
      <c r="F40" s="5">
        <v>0.12605748587981561</v>
      </c>
      <c r="G40" s="6">
        <f t="shared" si="0"/>
        <v>1789834.2689181378</v>
      </c>
      <c r="H40" s="3" t="str">
        <f t="shared" si="1"/>
        <v>OK</v>
      </c>
    </row>
    <row r="41" spans="1:8" x14ac:dyDescent="0.3">
      <c r="A41" s="2">
        <v>45839</v>
      </c>
      <c r="B41" s="3" t="s">
        <v>16</v>
      </c>
      <c r="C41" s="3" t="s">
        <v>11</v>
      </c>
      <c r="D41" s="3">
        <v>40</v>
      </c>
      <c r="E41" s="4">
        <v>2500</v>
      </c>
      <c r="F41" s="5">
        <v>3.4878697132402291E-2</v>
      </c>
      <c r="G41" s="6">
        <f t="shared" si="0"/>
        <v>96512.13028675977</v>
      </c>
      <c r="H41" s="3" t="str">
        <f t="shared" si="1"/>
        <v>OK</v>
      </c>
    </row>
    <row r="42" spans="1:8" x14ac:dyDescent="0.3">
      <c r="A42" s="2">
        <v>45839</v>
      </c>
      <c r="B42" s="3" t="s">
        <v>12</v>
      </c>
      <c r="C42" s="3" t="s">
        <v>8</v>
      </c>
      <c r="D42" s="3">
        <v>111</v>
      </c>
      <c r="E42" s="4">
        <v>3500</v>
      </c>
      <c r="F42" s="5">
        <v>6.3187568694136109E-2</v>
      </c>
      <c r="G42" s="6">
        <f t="shared" si="0"/>
        <v>363951.6295623281</v>
      </c>
      <c r="H42" s="3" t="str">
        <f t="shared" si="1"/>
        <v>OK</v>
      </c>
    </row>
    <row r="43" spans="1:8" x14ac:dyDescent="0.3">
      <c r="A43" s="2">
        <v>45839</v>
      </c>
      <c r="B43" s="3" t="s">
        <v>17</v>
      </c>
      <c r="C43" s="3" t="s">
        <v>13</v>
      </c>
      <c r="D43" s="3">
        <v>122</v>
      </c>
      <c r="E43" s="4">
        <v>12000</v>
      </c>
      <c r="F43" s="5">
        <v>4.7657708633003157E-2</v>
      </c>
      <c r="G43" s="6">
        <f t="shared" si="0"/>
        <v>1394229.1145612835</v>
      </c>
      <c r="H43" s="3" t="str">
        <f t="shared" si="1"/>
        <v>OK</v>
      </c>
    </row>
    <row r="44" spans="1:8" x14ac:dyDescent="0.3">
      <c r="A44" s="2">
        <v>45870</v>
      </c>
      <c r="B44" s="3" t="s">
        <v>7</v>
      </c>
      <c r="C44" s="3" t="s">
        <v>11</v>
      </c>
      <c r="D44" s="3">
        <v>111</v>
      </c>
      <c r="E44" s="4">
        <v>65000</v>
      </c>
      <c r="F44" s="5">
        <v>3.8310248401180247E-2</v>
      </c>
      <c r="G44" s="6">
        <f t="shared" si="0"/>
        <v>6938591.5577854849</v>
      </c>
      <c r="H44" s="3" t="str">
        <f t="shared" si="1"/>
        <v>OK</v>
      </c>
    </row>
    <row r="45" spans="1:8" x14ac:dyDescent="0.3">
      <c r="A45" s="2">
        <v>45870</v>
      </c>
      <c r="B45" s="3" t="s">
        <v>9</v>
      </c>
      <c r="C45" s="3" t="s">
        <v>10</v>
      </c>
      <c r="D45" s="3">
        <v>155</v>
      </c>
      <c r="E45" s="4">
        <v>28000</v>
      </c>
      <c r="F45" s="5">
        <v>0.12753954601964471</v>
      </c>
      <c r="G45" s="6">
        <f t="shared" si="0"/>
        <v>3786478.3702747421</v>
      </c>
      <c r="H45" s="3" t="str">
        <f t="shared" si="1"/>
        <v>OK</v>
      </c>
    </row>
    <row r="46" spans="1:8" x14ac:dyDescent="0.3">
      <c r="A46" s="2">
        <v>45870</v>
      </c>
      <c r="B46" s="3" t="s">
        <v>15</v>
      </c>
      <c r="C46" s="3" t="s">
        <v>13</v>
      </c>
      <c r="D46" s="3">
        <v>142</v>
      </c>
      <c r="E46" s="4">
        <v>16000</v>
      </c>
      <c r="F46" s="5">
        <v>0.1185359132839691</v>
      </c>
      <c r="G46" s="6">
        <f t="shared" si="0"/>
        <v>2002686.4050188223</v>
      </c>
      <c r="H46" s="3" t="str">
        <f t="shared" si="1"/>
        <v>OK</v>
      </c>
    </row>
    <row r="47" spans="1:8" x14ac:dyDescent="0.3">
      <c r="A47" s="2">
        <v>45870</v>
      </c>
      <c r="B47" s="3" t="s">
        <v>16</v>
      </c>
      <c r="C47" s="3" t="s">
        <v>10</v>
      </c>
      <c r="D47" s="3">
        <v>156</v>
      </c>
      <c r="E47" s="4">
        <v>2500</v>
      </c>
      <c r="F47" s="5">
        <v>9.1608120209404773E-2</v>
      </c>
      <c r="G47" s="6">
        <f t="shared" si="0"/>
        <v>354272.83311833214</v>
      </c>
      <c r="H47" s="3" t="str">
        <f t="shared" si="1"/>
        <v>OK</v>
      </c>
    </row>
    <row r="48" spans="1:8" x14ac:dyDescent="0.3">
      <c r="A48" s="2">
        <v>45870</v>
      </c>
      <c r="B48" s="3" t="s">
        <v>12</v>
      </c>
      <c r="C48" s="3" t="s">
        <v>11</v>
      </c>
      <c r="D48" s="3">
        <v>120</v>
      </c>
      <c r="E48" s="4">
        <v>3500</v>
      </c>
      <c r="F48" s="5">
        <v>0.14275113080933641</v>
      </c>
      <c r="G48" s="6">
        <f t="shared" si="0"/>
        <v>360044.52506007871</v>
      </c>
      <c r="H48" s="3" t="str">
        <f t="shared" si="1"/>
        <v>OK</v>
      </c>
    </row>
    <row r="49" spans="1:8" x14ac:dyDescent="0.3">
      <c r="A49" s="2">
        <v>45870</v>
      </c>
      <c r="B49" s="3" t="s">
        <v>17</v>
      </c>
      <c r="C49" s="3" t="s">
        <v>11</v>
      </c>
      <c r="D49" s="3">
        <v>178</v>
      </c>
      <c r="E49" s="4">
        <v>12000</v>
      </c>
      <c r="F49" s="5">
        <v>0.12759555245140561</v>
      </c>
      <c r="G49" s="6">
        <f t="shared" si="0"/>
        <v>1863455.8999637975</v>
      </c>
      <c r="H49" s="3" t="str">
        <f t="shared" si="1"/>
        <v>OK</v>
      </c>
    </row>
    <row r="50" spans="1:8" x14ac:dyDescent="0.3">
      <c r="A50" s="2">
        <v>45901</v>
      </c>
      <c r="B50" s="3" t="s">
        <v>7</v>
      </c>
      <c r="C50" s="3" t="s">
        <v>10</v>
      </c>
      <c r="D50" s="3">
        <v>98</v>
      </c>
      <c r="E50" s="4">
        <v>65000</v>
      </c>
      <c r="F50" s="5">
        <v>0.1004065104798757</v>
      </c>
      <c r="G50" s="6">
        <f t="shared" si="0"/>
        <v>5730410.5282431915</v>
      </c>
      <c r="H50" s="3" t="str">
        <f t="shared" si="1"/>
        <v>OK</v>
      </c>
    </row>
    <row r="51" spans="1:8" x14ac:dyDescent="0.3">
      <c r="A51" s="2">
        <v>45901</v>
      </c>
      <c r="B51" s="3" t="s">
        <v>9</v>
      </c>
      <c r="C51" s="3" t="s">
        <v>10</v>
      </c>
      <c r="D51" s="3">
        <v>70</v>
      </c>
      <c r="E51" s="4">
        <v>28000</v>
      </c>
      <c r="F51" s="5">
        <v>0.1274787016783035</v>
      </c>
      <c r="G51" s="6">
        <f t="shared" si="0"/>
        <v>1710141.7447105253</v>
      </c>
      <c r="H51" s="3" t="str">
        <f t="shared" si="1"/>
        <v>OK</v>
      </c>
    </row>
    <row r="52" spans="1:8" x14ac:dyDescent="0.3">
      <c r="A52" s="2">
        <v>45901</v>
      </c>
      <c r="B52" s="3" t="s">
        <v>15</v>
      </c>
      <c r="C52" s="3" t="s">
        <v>13</v>
      </c>
      <c r="D52" s="3">
        <v>80</v>
      </c>
      <c r="E52" s="4">
        <v>16000</v>
      </c>
      <c r="F52" s="5">
        <v>5.6889436433558323E-2</v>
      </c>
      <c r="G52" s="6">
        <f t="shared" si="0"/>
        <v>1207181.5213650453</v>
      </c>
      <c r="H52" s="3" t="str">
        <f t="shared" si="1"/>
        <v>OK</v>
      </c>
    </row>
    <row r="53" spans="1:8" x14ac:dyDescent="0.3">
      <c r="A53" s="2">
        <v>45901</v>
      </c>
      <c r="B53" s="3" t="s">
        <v>16</v>
      </c>
      <c r="C53" s="3" t="s">
        <v>11</v>
      </c>
      <c r="D53" s="3">
        <v>177</v>
      </c>
      <c r="E53" s="4">
        <v>2500</v>
      </c>
      <c r="F53" s="5">
        <v>5.0342846827945098E-2</v>
      </c>
      <c r="G53" s="6">
        <f t="shared" si="0"/>
        <v>420223.29027863429</v>
      </c>
      <c r="H53" s="3" t="str">
        <f t="shared" si="1"/>
        <v>OK</v>
      </c>
    </row>
    <row r="54" spans="1:8" x14ac:dyDescent="0.3">
      <c r="A54" s="2">
        <v>45901</v>
      </c>
      <c r="B54" s="3" t="s">
        <v>12</v>
      </c>
      <c r="C54" s="3" t="s">
        <v>8</v>
      </c>
      <c r="D54" s="3">
        <v>131</v>
      </c>
      <c r="E54" s="4">
        <v>3500</v>
      </c>
      <c r="F54" s="5">
        <v>0.1328370751334112</v>
      </c>
      <c r="G54" s="6">
        <f t="shared" si="0"/>
        <v>397594.20105133101</v>
      </c>
      <c r="H54" s="3" t="str">
        <f t="shared" si="1"/>
        <v>OK</v>
      </c>
    </row>
    <row r="55" spans="1:8" x14ac:dyDescent="0.3">
      <c r="A55" s="2">
        <v>45901</v>
      </c>
      <c r="B55" s="3" t="s">
        <v>17</v>
      </c>
      <c r="C55" s="3" t="s">
        <v>10</v>
      </c>
      <c r="D55" s="3">
        <v>44</v>
      </c>
      <c r="E55" s="4">
        <v>12000</v>
      </c>
      <c r="F55" s="5">
        <v>9.2710932769006202E-2</v>
      </c>
      <c r="G55" s="6">
        <f t="shared" si="0"/>
        <v>479048.62749796471</v>
      </c>
      <c r="H55" s="3" t="str">
        <f t="shared" si="1"/>
        <v>OK</v>
      </c>
    </row>
    <row r="56" spans="1:8" x14ac:dyDescent="0.3">
      <c r="A56" s="2">
        <v>45931</v>
      </c>
      <c r="B56" s="3" t="s">
        <v>7</v>
      </c>
      <c r="C56" s="3" t="s">
        <v>8</v>
      </c>
      <c r="D56" s="3">
        <v>36</v>
      </c>
      <c r="E56" s="4">
        <v>65000</v>
      </c>
      <c r="F56" s="5">
        <v>5.0292127603845993E-2</v>
      </c>
      <c r="G56" s="6">
        <f t="shared" si="0"/>
        <v>2222316.4214070006</v>
      </c>
      <c r="H56" s="3" t="str">
        <f t="shared" si="1"/>
        <v>OK</v>
      </c>
    </row>
    <row r="57" spans="1:8" x14ac:dyDescent="0.3">
      <c r="A57" s="2">
        <v>45931</v>
      </c>
      <c r="B57" s="3" t="s">
        <v>9</v>
      </c>
      <c r="C57" s="3" t="s">
        <v>11</v>
      </c>
      <c r="D57" s="3">
        <v>83</v>
      </c>
      <c r="E57" s="4">
        <v>28000</v>
      </c>
      <c r="F57" s="5">
        <v>0.13910189565130179</v>
      </c>
      <c r="G57" s="6">
        <f t="shared" si="0"/>
        <v>2000727.1945063747</v>
      </c>
      <c r="H57" s="3" t="str">
        <f t="shared" si="1"/>
        <v>OK</v>
      </c>
    </row>
    <row r="58" spans="1:8" x14ac:dyDescent="0.3">
      <c r="A58" s="2">
        <v>45931</v>
      </c>
      <c r="B58" s="3" t="s">
        <v>15</v>
      </c>
      <c r="C58" s="3" t="s">
        <v>11</v>
      </c>
      <c r="D58" s="3">
        <v>117</v>
      </c>
      <c r="E58" s="4">
        <v>16000</v>
      </c>
      <c r="F58" s="5">
        <v>0.13144141905167681</v>
      </c>
      <c r="G58" s="6">
        <f t="shared" si="0"/>
        <v>1625941.6635352611</v>
      </c>
      <c r="H58" s="3" t="str">
        <f t="shared" si="1"/>
        <v>OK</v>
      </c>
    </row>
    <row r="59" spans="1:8" x14ac:dyDescent="0.3">
      <c r="A59" s="2">
        <v>45931</v>
      </c>
      <c r="B59" s="3" t="s">
        <v>16</v>
      </c>
      <c r="C59" s="3" t="s">
        <v>11</v>
      </c>
      <c r="D59" s="3">
        <v>45</v>
      </c>
      <c r="E59" s="4">
        <v>2500</v>
      </c>
      <c r="F59" s="5">
        <v>0.1097962755485713</v>
      </c>
      <c r="G59" s="6">
        <f t="shared" si="0"/>
        <v>100147.91900078573</v>
      </c>
      <c r="H59" s="3" t="str">
        <f t="shared" si="1"/>
        <v>OK</v>
      </c>
    </row>
    <row r="60" spans="1:8" x14ac:dyDescent="0.3">
      <c r="A60" s="2">
        <v>45931</v>
      </c>
      <c r="B60" s="3" t="s">
        <v>12</v>
      </c>
      <c r="C60" s="3" t="s">
        <v>13</v>
      </c>
      <c r="D60" s="3">
        <v>62</v>
      </c>
      <c r="E60" s="4">
        <v>3500</v>
      </c>
      <c r="F60" s="5">
        <v>9.5965694496087287E-2</v>
      </c>
      <c r="G60" s="6">
        <f t="shared" si="0"/>
        <v>196175.44429434906</v>
      </c>
      <c r="H60" s="3" t="str">
        <f t="shared" si="1"/>
        <v>OK</v>
      </c>
    </row>
    <row r="61" spans="1:8" x14ac:dyDescent="0.3">
      <c r="A61" s="2">
        <v>45931</v>
      </c>
      <c r="B61" s="3" t="s">
        <v>17</v>
      </c>
      <c r="C61" s="3" t="s">
        <v>11</v>
      </c>
      <c r="D61" s="3">
        <v>135</v>
      </c>
      <c r="E61" s="4">
        <v>12000</v>
      </c>
      <c r="F61" s="5">
        <v>8.5546415699899625E-2</v>
      </c>
      <c r="G61" s="6">
        <f t="shared" si="0"/>
        <v>1481414.8065661625</v>
      </c>
      <c r="H61" s="3" t="str">
        <f t="shared" si="1"/>
        <v>OK</v>
      </c>
    </row>
    <row r="62" spans="1:8" x14ac:dyDescent="0.3">
      <c r="A62" s="2">
        <v>45962</v>
      </c>
      <c r="B62" s="3" t="s">
        <v>7</v>
      </c>
      <c r="C62" s="3" t="s">
        <v>13</v>
      </c>
      <c r="D62" s="3">
        <v>89</v>
      </c>
      <c r="E62" s="4">
        <v>65000</v>
      </c>
      <c r="F62" s="5">
        <v>3.5371951301416682E-2</v>
      </c>
      <c r="G62" s="6">
        <f t="shared" si="0"/>
        <v>5580373.2617213046</v>
      </c>
      <c r="H62" s="3" t="str">
        <f t="shared" si="1"/>
        <v>OK</v>
      </c>
    </row>
    <row r="63" spans="1:8" x14ac:dyDescent="0.3">
      <c r="A63" s="2">
        <v>45962</v>
      </c>
      <c r="B63" s="3" t="s">
        <v>9</v>
      </c>
      <c r="C63" s="3" t="s">
        <v>13</v>
      </c>
      <c r="D63" s="3">
        <v>178</v>
      </c>
      <c r="E63" s="4">
        <v>28000</v>
      </c>
      <c r="F63" s="5">
        <v>0.13354664689030249</v>
      </c>
      <c r="G63" s="6">
        <f t="shared" si="0"/>
        <v>4318403.5118987327</v>
      </c>
      <c r="H63" s="3" t="str">
        <f t="shared" si="1"/>
        <v>OK</v>
      </c>
    </row>
    <row r="64" spans="1:8" x14ac:dyDescent="0.3">
      <c r="A64" s="2">
        <v>45962</v>
      </c>
      <c r="B64" s="3" t="s">
        <v>15</v>
      </c>
      <c r="C64" s="3" t="s">
        <v>8</v>
      </c>
      <c r="D64" s="3">
        <v>79</v>
      </c>
      <c r="E64" s="4">
        <v>16000</v>
      </c>
      <c r="F64" s="5">
        <v>9.2966380412235816E-2</v>
      </c>
      <c r="G64" s="6">
        <f t="shared" si="0"/>
        <v>1146490.495158934</v>
      </c>
      <c r="H64" s="3" t="str">
        <f t="shared" si="1"/>
        <v>OK</v>
      </c>
    </row>
    <row r="65" spans="1:8" x14ac:dyDescent="0.3">
      <c r="A65" s="2">
        <v>45962</v>
      </c>
      <c r="B65" s="3" t="s">
        <v>16</v>
      </c>
      <c r="C65" s="3" t="s">
        <v>10</v>
      </c>
      <c r="D65" s="3">
        <v>162</v>
      </c>
      <c r="E65" s="4">
        <v>2500</v>
      </c>
      <c r="F65" s="5">
        <v>4.6148455037362507E-2</v>
      </c>
      <c r="G65" s="6">
        <f t="shared" si="0"/>
        <v>386309.87570986815</v>
      </c>
      <c r="H65" s="3" t="str">
        <f t="shared" si="1"/>
        <v>OK</v>
      </c>
    </row>
    <row r="66" spans="1:8" x14ac:dyDescent="0.3">
      <c r="A66" s="2">
        <v>45962</v>
      </c>
      <c r="B66" s="3" t="s">
        <v>12</v>
      </c>
      <c r="C66" s="3" t="s">
        <v>11</v>
      </c>
      <c r="D66" s="3">
        <v>179</v>
      </c>
      <c r="E66" s="4">
        <v>3500</v>
      </c>
      <c r="F66" s="5">
        <v>0.1008415025167602</v>
      </c>
      <c r="G66" s="6">
        <f t="shared" si="0"/>
        <v>563322.79867324978</v>
      </c>
      <c r="H66" s="3" t="str">
        <f t="shared" si="1"/>
        <v>OK</v>
      </c>
    </row>
    <row r="67" spans="1:8" x14ac:dyDescent="0.3">
      <c r="A67" s="2">
        <v>45962</v>
      </c>
      <c r="B67" s="3" t="s">
        <v>17</v>
      </c>
      <c r="C67" s="3" t="s">
        <v>8</v>
      </c>
      <c r="D67" s="3">
        <v>75</v>
      </c>
      <c r="E67" s="4">
        <v>12000</v>
      </c>
      <c r="F67" s="5">
        <v>0.1471456586494472</v>
      </c>
      <c r="G67" s="6">
        <f t="shared" ref="G67:G73" si="2">D67*E67*(1-F67)</f>
        <v>767568.90721549757</v>
      </c>
      <c r="H67" s="3" t="str">
        <f t="shared" ref="H67:H73" si="3">IF(AND(D67&gt;=1,E67&gt;=0),"OK","CHECK")</f>
        <v>OK</v>
      </c>
    </row>
    <row r="68" spans="1:8" x14ac:dyDescent="0.3">
      <c r="A68" s="2">
        <v>45992</v>
      </c>
      <c r="B68" s="3" t="s">
        <v>7</v>
      </c>
      <c r="C68" s="3" t="s">
        <v>10</v>
      </c>
      <c r="D68" s="3">
        <v>142</v>
      </c>
      <c r="E68" s="4">
        <v>65000</v>
      </c>
      <c r="F68" s="5">
        <v>3.8605945256924908E-2</v>
      </c>
      <c r="G68" s="6">
        <f t="shared" si="2"/>
        <v>8873667.1252785828</v>
      </c>
      <c r="H68" s="3" t="str">
        <f t="shared" si="3"/>
        <v>OK</v>
      </c>
    </row>
    <row r="69" spans="1:8" x14ac:dyDescent="0.3">
      <c r="A69" s="2">
        <v>45992</v>
      </c>
      <c r="B69" s="3" t="s">
        <v>9</v>
      </c>
      <c r="C69" s="3" t="s">
        <v>8</v>
      </c>
      <c r="D69" s="3">
        <v>145</v>
      </c>
      <c r="E69" s="4">
        <v>28000</v>
      </c>
      <c r="F69" s="5">
        <v>5.914828728908611E-2</v>
      </c>
      <c r="G69" s="6">
        <f t="shared" si="2"/>
        <v>3819857.9536063108</v>
      </c>
      <c r="H69" s="3" t="str">
        <f t="shared" si="3"/>
        <v>OK</v>
      </c>
    </row>
    <row r="70" spans="1:8" x14ac:dyDescent="0.3">
      <c r="A70" s="2">
        <v>45992</v>
      </c>
      <c r="B70" s="3" t="s">
        <v>15</v>
      </c>
      <c r="C70" s="3" t="s">
        <v>11</v>
      </c>
      <c r="D70" s="3">
        <v>170</v>
      </c>
      <c r="E70" s="4">
        <v>16000</v>
      </c>
      <c r="F70" s="5">
        <v>0.13394388409012689</v>
      </c>
      <c r="G70" s="6">
        <f t="shared" si="2"/>
        <v>2355672.635274855</v>
      </c>
      <c r="H70" s="3" t="str">
        <f t="shared" si="3"/>
        <v>OK</v>
      </c>
    </row>
    <row r="71" spans="1:8" x14ac:dyDescent="0.3">
      <c r="A71" s="2">
        <v>45992</v>
      </c>
      <c r="B71" s="3" t="s">
        <v>16</v>
      </c>
      <c r="C71" s="3" t="s">
        <v>11</v>
      </c>
      <c r="D71" s="3">
        <v>113</v>
      </c>
      <c r="E71" s="4">
        <v>2500</v>
      </c>
      <c r="F71" s="5">
        <v>3.2868363137079699E-2</v>
      </c>
      <c r="G71" s="6">
        <f t="shared" si="2"/>
        <v>273214.68741377495</v>
      </c>
      <c r="H71" s="3" t="str">
        <f t="shared" si="3"/>
        <v>OK</v>
      </c>
    </row>
    <row r="72" spans="1:8" x14ac:dyDescent="0.3">
      <c r="A72" s="2">
        <v>45992</v>
      </c>
      <c r="B72" s="3" t="s">
        <v>12</v>
      </c>
      <c r="C72" s="3" t="s">
        <v>13</v>
      </c>
      <c r="D72" s="3">
        <v>140</v>
      </c>
      <c r="E72" s="4">
        <v>3500</v>
      </c>
      <c r="F72" s="5">
        <v>4.4475891396738979E-2</v>
      </c>
      <c r="G72" s="6">
        <f t="shared" si="2"/>
        <v>468206.81321559788</v>
      </c>
      <c r="H72" s="3" t="str">
        <f t="shared" si="3"/>
        <v>OK</v>
      </c>
    </row>
    <row r="73" spans="1:8" x14ac:dyDescent="0.3">
      <c r="A73" s="2">
        <v>45992</v>
      </c>
      <c r="B73" s="3" t="s">
        <v>17</v>
      </c>
      <c r="C73" s="3" t="s">
        <v>8</v>
      </c>
      <c r="D73" s="3">
        <v>170</v>
      </c>
      <c r="E73" s="4">
        <v>12000</v>
      </c>
      <c r="F73" s="5">
        <v>3.3652711999874782E-2</v>
      </c>
      <c r="G73" s="6">
        <f t="shared" si="2"/>
        <v>1971348.4675202556</v>
      </c>
      <c r="H73" s="3" t="str">
        <f t="shared" si="3"/>
        <v>OK</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saumyajit mishra</dc:creator>
  <cp:lastModifiedBy>saumyajit mishra</cp:lastModifiedBy>
  <dcterms:created xsi:type="dcterms:W3CDTF">2026-09-01T03:56:54Z</dcterms:created>
  <dcterms:modified xsi:type="dcterms:W3CDTF">2026-09-15T17:51:16Z</dcterms:modified>
</cp:coreProperties>
</file>